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drawings/drawing2.xml" ContentType="application/vnd.openxmlformats-officedocument.drawing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drawings/drawing3.xml" ContentType="application/vnd.openxmlformats-officedocument.drawing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drawings/drawing4.xml" ContentType="application/vnd.openxmlformats-officedocument.drawing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rel\Downloads\"/>
    </mc:Choice>
  </mc:AlternateContent>
  <xr:revisionPtr revIDLastSave="0" documentId="8_{F08983FA-AB63-45C4-8B13-03DA835372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1" sheetId="1" r:id="rId1"/>
    <sheet name="Test 2" sheetId="2" r:id="rId2"/>
    <sheet name="Test 3" sheetId="3" r:id="rId3"/>
    <sheet name="Test 4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8" i="4" l="1"/>
  <c r="J30" i="4" s="1"/>
  <c r="E16" i="4"/>
  <c r="E19" i="4" s="1"/>
  <c r="D16" i="4"/>
  <c r="E25" i="4" s="1"/>
  <c r="E14" i="4"/>
  <c r="D14" i="4"/>
  <c r="H28" i="4" s="1"/>
  <c r="H30" i="4" s="1"/>
  <c r="H13" i="4"/>
  <c r="G13" i="4"/>
  <c r="F13" i="4"/>
  <c r="H12" i="4"/>
  <c r="G12" i="4"/>
  <c r="F12" i="4"/>
  <c r="H11" i="4"/>
  <c r="G11" i="4"/>
  <c r="F11" i="4"/>
  <c r="H10" i="4"/>
  <c r="G10" i="4"/>
  <c r="F10" i="4"/>
  <c r="H9" i="4"/>
  <c r="G9" i="4"/>
  <c r="F9" i="4"/>
  <c r="H8" i="4"/>
  <c r="G8" i="4"/>
  <c r="F8" i="4"/>
  <c r="H7" i="4"/>
  <c r="G7" i="4"/>
  <c r="F7" i="4"/>
  <c r="H6" i="4"/>
  <c r="G6" i="4"/>
  <c r="F6" i="4"/>
  <c r="H5" i="4"/>
  <c r="G5" i="4"/>
  <c r="F5" i="4"/>
  <c r="H4" i="4"/>
  <c r="H14" i="4" s="1"/>
  <c r="I30" i="4" s="1"/>
  <c r="H32" i="4" s="1"/>
  <c r="G4" i="4"/>
  <c r="G14" i="4" s="1"/>
  <c r="F4" i="4"/>
  <c r="F14" i="4" s="1"/>
  <c r="E25" i="3"/>
  <c r="C25" i="3"/>
  <c r="E19" i="3"/>
  <c r="D19" i="3"/>
  <c r="D21" i="3" s="1"/>
  <c r="E16" i="3"/>
  <c r="D16" i="3"/>
  <c r="E14" i="3"/>
  <c r="I28" i="3" s="1"/>
  <c r="J30" i="3" s="1"/>
  <c r="D14" i="3"/>
  <c r="H28" i="3" s="1"/>
  <c r="H30" i="3" s="1"/>
  <c r="H13" i="3"/>
  <c r="G13" i="3"/>
  <c r="F13" i="3"/>
  <c r="H12" i="3"/>
  <c r="G12" i="3"/>
  <c r="F12" i="3"/>
  <c r="H11" i="3"/>
  <c r="G11" i="3"/>
  <c r="F11" i="3"/>
  <c r="H10" i="3"/>
  <c r="G10" i="3"/>
  <c r="F10" i="3"/>
  <c r="H9" i="3"/>
  <c r="G9" i="3"/>
  <c r="F9" i="3"/>
  <c r="H8" i="3"/>
  <c r="G8" i="3"/>
  <c r="F8" i="3"/>
  <c r="H7" i="3"/>
  <c r="G7" i="3"/>
  <c r="F7" i="3"/>
  <c r="H6" i="3"/>
  <c r="G6" i="3"/>
  <c r="F6" i="3"/>
  <c r="H5" i="3"/>
  <c r="G5" i="3"/>
  <c r="F5" i="3"/>
  <c r="H4" i="3"/>
  <c r="H14" i="3" s="1"/>
  <c r="I30" i="3" s="1"/>
  <c r="H32" i="3" s="1"/>
  <c r="G4" i="3"/>
  <c r="G14" i="3" s="1"/>
  <c r="F4" i="3"/>
  <c r="F14" i="3" s="1"/>
  <c r="H30" i="2"/>
  <c r="H28" i="2"/>
  <c r="E25" i="2"/>
  <c r="E19" i="2"/>
  <c r="E16" i="2"/>
  <c r="C25" i="2" s="1"/>
  <c r="D16" i="2"/>
  <c r="D19" i="2" s="1"/>
  <c r="D21" i="2" s="1"/>
  <c r="E14" i="2"/>
  <c r="I28" i="2" s="1"/>
  <c r="J30" i="2" s="1"/>
  <c r="D14" i="2"/>
  <c r="H13" i="2"/>
  <c r="G13" i="2"/>
  <c r="F13" i="2"/>
  <c r="H12" i="2"/>
  <c r="G12" i="2"/>
  <c r="F12" i="2"/>
  <c r="H11" i="2"/>
  <c r="G11" i="2"/>
  <c r="F11" i="2"/>
  <c r="H10" i="2"/>
  <c r="G10" i="2"/>
  <c r="F10" i="2"/>
  <c r="H9" i="2"/>
  <c r="G9" i="2"/>
  <c r="F9" i="2"/>
  <c r="H8" i="2"/>
  <c r="G8" i="2"/>
  <c r="F8" i="2"/>
  <c r="H7" i="2"/>
  <c r="G7" i="2"/>
  <c r="F7" i="2"/>
  <c r="H6" i="2"/>
  <c r="G6" i="2"/>
  <c r="F6" i="2"/>
  <c r="H5" i="2"/>
  <c r="G5" i="2"/>
  <c r="F5" i="2"/>
  <c r="H4" i="2"/>
  <c r="H14" i="2" s="1"/>
  <c r="I30" i="2" s="1"/>
  <c r="G4" i="2"/>
  <c r="G14" i="2" s="1"/>
  <c r="F4" i="2"/>
  <c r="F14" i="2" s="1"/>
  <c r="C32" i="1"/>
  <c r="J30" i="1"/>
  <c r="H32" i="1" s="1"/>
  <c r="H30" i="1"/>
  <c r="G32" i="1" s="1"/>
  <c r="K28" i="1"/>
  <c r="C26" i="1"/>
  <c r="D21" i="1"/>
  <c r="F21" i="1" s="1"/>
  <c r="F19" i="1"/>
  <c r="C22" i="1" s="1"/>
  <c r="E16" i="1"/>
  <c r="D16" i="1"/>
  <c r="E14" i="1"/>
  <c r="D14" i="1"/>
  <c r="H13" i="1"/>
  <c r="G13" i="1"/>
  <c r="F13" i="1"/>
  <c r="H12" i="1"/>
  <c r="G12" i="1"/>
  <c r="F12" i="1"/>
  <c r="H11" i="1"/>
  <c r="G11" i="1"/>
  <c r="F11" i="1"/>
  <c r="H10" i="1"/>
  <c r="G10" i="1"/>
  <c r="F10" i="1"/>
  <c r="H9" i="1"/>
  <c r="G9" i="1"/>
  <c r="F9" i="1"/>
  <c r="H8" i="1"/>
  <c r="G8" i="1"/>
  <c r="F8" i="1"/>
  <c r="H7" i="1"/>
  <c r="G7" i="1"/>
  <c r="F7" i="1"/>
  <c r="H6" i="1"/>
  <c r="G6" i="1"/>
  <c r="F6" i="1"/>
  <c r="H5" i="1"/>
  <c r="G5" i="1"/>
  <c r="F5" i="1"/>
  <c r="H4" i="1"/>
  <c r="H14" i="1" s="1"/>
  <c r="G4" i="1"/>
  <c r="G14" i="1" s="1"/>
  <c r="F4" i="1"/>
  <c r="F14" i="1" s="1"/>
  <c r="H32" i="2" l="1"/>
  <c r="G30" i="2"/>
  <c r="G32" i="2" s="1"/>
  <c r="C21" i="2"/>
  <c r="F21" i="2" s="1"/>
  <c r="C19" i="2"/>
  <c r="F19" i="2" s="1"/>
  <c r="C22" i="2" s="1"/>
  <c r="G28" i="2"/>
  <c r="K28" i="2" s="1"/>
  <c r="H33" i="1"/>
  <c r="H34" i="1" s="1"/>
  <c r="C21" i="4"/>
  <c r="G30" i="4"/>
  <c r="G32" i="4" s="1"/>
  <c r="J32" i="1"/>
  <c r="I32" i="1"/>
  <c r="G28" i="4"/>
  <c r="K28" i="4" s="1"/>
  <c r="C19" i="4"/>
  <c r="C19" i="3"/>
  <c r="F19" i="3" s="1"/>
  <c r="G28" i="3"/>
  <c r="K28" i="3" s="1"/>
  <c r="C21" i="3"/>
  <c r="F21" i="3" s="1"/>
  <c r="G30" i="3"/>
  <c r="G32" i="3" s="1"/>
  <c r="C25" i="4"/>
  <c r="D19" i="4"/>
  <c r="D21" i="4" s="1"/>
  <c r="C22" i="3" l="1"/>
  <c r="F21" i="4"/>
  <c r="F19" i="4"/>
  <c r="H33" i="2"/>
  <c r="H34" i="2" s="1"/>
  <c r="C30" i="2"/>
  <c r="D25" i="2"/>
  <c r="C26" i="2" s="1"/>
  <c r="C29" i="2" s="1"/>
  <c r="C32" i="2" s="1"/>
  <c r="J32" i="3"/>
  <c r="H33" i="3" s="1"/>
  <c r="H34" i="3" s="1"/>
  <c r="I32" i="3"/>
  <c r="J32" i="2"/>
  <c r="I32" i="2"/>
  <c r="J32" i="4"/>
  <c r="H33" i="4" s="1"/>
  <c r="H34" i="4" s="1"/>
  <c r="I32" i="4"/>
  <c r="C22" i="4" l="1"/>
  <c r="C30" i="3"/>
  <c r="D25" i="3"/>
  <c r="C26" i="3" s="1"/>
  <c r="C29" i="3" s="1"/>
  <c r="C32" i="3" s="1"/>
  <c r="D25" i="4" l="1"/>
  <c r="C26" i="4" s="1"/>
  <c r="C29" i="4" s="1"/>
  <c r="C32" i="4" s="1"/>
  <c r="C30" i="4"/>
</calcChain>
</file>

<file path=xl/sharedStrings.xml><?xml version="1.0" encoding="utf-8"?>
<sst xmlns="http://schemas.openxmlformats.org/spreadsheetml/2006/main" count="157" uniqueCount="41">
  <si>
    <t>n</t>
  </si>
  <si>
    <t>x</t>
  </si>
  <si>
    <t>y</t>
  </si>
  <si>
    <t>x^2</t>
  </si>
  <si>
    <t>x*y</t>
  </si>
  <si>
    <t>y^2</t>
  </si>
  <si>
    <t>SUM</t>
  </si>
  <si>
    <t>Xavg</t>
  </si>
  <si>
    <t>Yavg</t>
  </si>
  <si>
    <t>x*y SUM</t>
  </si>
  <si>
    <t>x average</t>
  </si>
  <si>
    <t>y average</t>
  </si>
  <si>
    <t>(x*y SUM)-(10*Xavg*Yavg)</t>
  </si>
  <si>
    <t>x^2 SUM</t>
  </si>
  <si>
    <t>x average^2</t>
  </si>
  <si>
    <t>(x^2 SUM)-(10*xavg^2)</t>
  </si>
  <si>
    <t>B1=</t>
  </si>
  <si>
    <t>Yvg</t>
  </si>
  <si>
    <t>B1</t>
  </si>
  <si>
    <t>xavg</t>
  </si>
  <si>
    <t>638.9</t>
  </si>
  <si>
    <t>B0=</t>
  </si>
  <si>
    <t>SUM x*y</t>
  </si>
  <si>
    <t>SUM x</t>
  </si>
  <si>
    <t>SUM y</t>
  </si>
  <si>
    <t>10*(SUM x*y)-(SUM x)(SUM y)</t>
  </si>
  <si>
    <t>SUM x^2</t>
  </si>
  <si>
    <t>(SUM x)^2</t>
  </si>
  <si>
    <t>SUM y^2</t>
  </si>
  <si>
    <t xml:space="preserve"> (SUM y)^2</t>
  </si>
  <si>
    <t>xk=</t>
  </si>
  <si>
    <t>10*(SUM x^2)-((SUM x)^2)</t>
  </si>
  <si>
    <t>10*(SUM y^2)-( (SUM y)^2)</t>
  </si>
  <si>
    <t>10749256 * 35227609</t>
  </si>
  <si>
    <t>√3.78671E+14</t>
  </si>
  <si>
    <t>Yk=</t>
  </si>
  <si>
    <t>Rxy=</t>
  </si>
  <si>
    <t>R^2</t>
  </si>
  <si>
    <t>√3.74957E+12</t>
  </si>
  <si>
    <t>√5.62163E+14</t>
  </si>
  <si>
    <t>√5.5665E+12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</si>
</sst>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4" tint="-0.249977111117893"/>
      <name val="Calibri"/>
      <family val="2"/>
      <scheme val="minor"/>
    </font>
    <font>
      <sz val="11"/>
      <color theme="4" tint="-0.249977111117893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9" tint="0.7999816888943144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1" fillId="2" borderId="9" xfId="0" applyFont="1" applyFill="1" applyBorder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2" borderId="5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1">
    <cellStyle name="Normal" xfId="0" builtinId="0"/>
  </cellStyles>
  <dxfs count="264"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</font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</font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</font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</font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</font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</font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</font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</font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</font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</font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</font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</font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</font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</font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</font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</font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</font>
      <fill>
        <patternFill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</font>
      <fill>
        <patternFill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</font>
      <fill>
        <patternFill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</font>
      <fill>
        <patternFill>
          <bgColor theme="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</font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</font>
      <fill>
        <patternFill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</font>
      <fill>
        <patternFill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</font>
      <fill>
        <patternFill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</font>
      <fill>
        <patternFill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</font>
      <fill>
        <patternFill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</font>
      <fill>
        <patternFill>
          <bgColor theme="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</font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</font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</font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</font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</font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</font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</font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</font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</font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</font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</font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</font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</font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</font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</font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</font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</font>
      <fill>
        <patternFill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</font>
      <fill>
        <patternFill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</font>
      <fill>
        <patternFill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</font>
      <fill>
        <patternFill>
          <bgColor theme="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</font>
      <fill>
        <patternFill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</font>
      <fill>
        <patternFill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</font>
      <fill>
        <patternFill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</font>
      <fill>
        <patternFill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</font>
      <fill>
        <patternFill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</font>
      <fill>
        <patternFill>
          <bgColor theme="0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</font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</font>
      <fill>
        <patternFill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</font>
      <fill>
        <patternFill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</font>
      <fill>
        <patternFill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</font>
      <fill>
        <patternFill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</font>
      <fill>
        <patternFill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</font>
      <fill>
        <patternFill>
          <bgColor theme="0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</font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</font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</font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</font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</font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</font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</font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</font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</font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</font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</font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</font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</font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</font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</font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</font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</font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</font>
      <fill>
        <patternFill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</font>
      <fill>
        <patternFill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</font>
      <fill>
        <patternFill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</font>
      <fill>
        <patternFill>
          <bgColor theme="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</font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</font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</font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</font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</font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</font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</font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</font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</font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</font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</font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</font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</font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</font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</font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</font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</font>
      <fill>
        <patternFill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</font>
      <fill>
        <patternFill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</font>
      <fill>
        <patternFill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</font>
      <fill>
        <patternFill>
          <bgColor theme="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</font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</font>
      <fill>
        <patternFill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</font>
      <fill>
        <patternFill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</font>
      <fill>
        <patternFill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</font>
      <fill>
        <patternFill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</font>
      <fill>
        <patternFill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</font>
      <fill>
        <patternFill>
          <bgColor theme="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2.png"/><Relationship Id="rId1" Type="http://schemas.openxmlformats.org/officeDocument/2006/relationships/image" Target="../media/image3.png"/><Relationship Id="rId5" Type="http://schemas.openxmlformats.org/officeDocument/2006/relationships/image" Target="../media/image4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68580</xdr:colOff>
      <xdr:row>23</xdr:row>
      <xdr:rowOff>91440</xdr:rowOff>
    </xdr:from>
    <xdr:to>
      <xdr:col>6</xdr:col>
      <xdr:colOff>474935</xdr:colOff>
      <xdr:row>26</xdr:row>
      <xdr:rowOff>94911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E2EB0D-B0C6-4641-B41B-DB5E5F38E1FB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977640" y="4297680"/>
          <a:ext cx="2120855" cy="552111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236220</xdr:colOff>
      <xdr:row>6</xdr:row>
      <xdr:rowOff>129540</xdr:rowOff>
    </xdr:from>
    <xdr:to>
      <xdr:col>10</xdr:col>
      <xdr:colOff>789434</xdr:colOff>
      <xdr:row>11</xdr:row>
      <xdr:rowOff>180324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B5627A-6E51-4999-956B-85E0EEE5BE6E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9098280" y="1226820"/>
          <a:ext cx="2923034" cy="965184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472440</xdr:colOff>
      <xdr:row>17</xdr:row>
      <xdr:rowOff>45720</xdr:rowOff>
    </xdr:from>
    <xdr:to>
      <xdr:col>7</xdr:col>
      <xdr:colOff>1005840</xdr:colOff>
      <xdr:row>22</xdr:row>
      <xdr:rowOff>60960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F4C7CDA-CD30-450B-AEC0-F27C71D1DA4A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6096000" y="3154680"/>
          <a:ext cx="2148840" cy="929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5</xdr:col>
      <xdr:colOff>419100</xdr:colOff>
      <xdr:row>41</xdr:row>
      <xdr:rowOff>77287</xdr:rowOff>
    </xdr:to>
    <xdr:pic>
      <xdr:nvPicPr>
        <xdr:cNvPr id="5" name="Imagen 2">
          <a:extLst>
            <a:ext uri="{FF2B5EF4-FFF2-40B4-BE49-F238E27FC236}">
              <a16:creationId xmlns:a16="http://schemas.microsoft.com/office/drawing/2014/main" id="{DB81873E-9A83-499D-BF60-1B8A0FB45E13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609600" y="6217920"/>
          <a:ext cx="3718560" cy="1357447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807720</xdr:colOff>
      <xdr:row>34</xdr:row>
      <xdr:rowOff>152400</xdr:rowOff>
    </xdr:from>
    <xdr:to>
      <xdr:col>10</xdr:col>
      <xdr:colOff>193545</xdr:colOff>
      <xdr:row>47</xdr:row>
      <xdr:rowOff>176081</xdr:rowOff>
    </xdr:to>
    <xdr:pic>
      <xdr:nvPicPr>
        <xdr:cNvPr id="6" name="Imagen 1">
          <a:extLst>
            <a:ext uri="{FF2B5EF4-FFF2-40B4-BE49-F238E27FC236}">
              <a16:creationId xmlns:a16="http://schemas.microsoft.com/office/drawing/2014/main" id="{97316C6C-5431-4CE5-9D66-40D53E511FC1}"/>
            </a:ext>
          </a:extLst>
        </xdr:cNvPr>
        <xdr:cNvPicPr/>
      </xdr:nvPicPr>
      <xdr:blipFill>
        <a:blip xmlns:r="http://schemas.openxmlformats.org/officeDocument/2006/relationships" r:embed="rId5"/>
        <a:stretch/>
      </xdr:blipFill>
      <xdr:spPr>
        <a:xfrm>
          <a:off x="8046720" y="6370320"/>
          <a:ext cx="3378705" cy="2401121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53340</xdr:colOff>
      <xdr:row>22</xdr:row>
      <xdr:rowOff>91440</xdr:rowOff>
    </xdr:from>
    <xdr:to>
      <xdr:col>6</xdr:col>
      <xdr:colOff>459695</xdr:colOff>
      <xdr:row>25</xdr:row>
      <xdr:rowOff>94911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035353-1446-4117-8605-93379410D4BD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962400" y="4114800"/>
          <a:ext cx="2120855" cy="552111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274320</xdr:colOff>
      <xdr:row>6</xdr:row>
      <xdr:rowOff>91440</xdr:rowOff>
    </xdr:from>
    <xdr:to>
      <xdr:col>10</xdr:col>
      <xdr:colOff>827534</xdr:colOff>
      <xdr:row>11</xdr:row>
      <xdr:rowOff>142224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A2220F7-6506-4118-917C-6DF97E251234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9136380" y="1188720"/>
          <a:ext cx="2923034" cy="965184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304800</xdr:colOff>
      <xdr:row>17</xdr:row>
      <xdr:rowOff>22860</xdr:rowOff>
    </xdr:from>
    <xdr:to>
      <xdr:col>7</xdr:col>
      <xdr:colOff>838200</xdr:colOff>
      <xdr:row>22</xdr:row>
      <xdr:rowOff>38100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6B53B7B-5620-4B8C-9DBA-443F636EE259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5928360" y="3131820"/>
          <a:ext cx="2148840" cy="929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5</xdr:col>
      <xdr:colOff>419100</xdr:colOff>
      <xdr:row>41</xdr:row>
      <xdr:rowOff>77287</xdr:rowOff>
    </xdr:to>
    <xdr:pic>
      <xdr:nvPicPr>
        <xdr:cNvPr id="5" name="Imagen 2">
          <a:extLst>
            <a:ext uri="{FF2B5EF4-FFF2-40B4-BE49-F238E27FC236}">
              <a16:creationId xmlns:a16="http://schemas.microsoft.com/office/drawing/2014/main" id="{C919CFC4-20B7-45BD-80EA-6656EB1F295C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609600" y="6217920"/>
          <a:ext cx="3718560" cy="1357447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9</xdr:col>
      <xdr:colOff>254505</xdr:colOff>
      <xdr:row>49</xdr:row>
      <xdr:rowOff>23681</xdr:rowOff>
    </xdr:to>
    <xdr:pic>
      <xdr:nvPicPr>
        <xdr:cNvPr id="6" name="Imagen 1">
          <a:extLst>
            <a:ext uri="{FF2B5EF4-FFF2-40B4-BE49-F238E27FC236}">
              <a16:creationId xmlns:a16="http://schemas.microsoft.com/office/drawing/2014/main" id="{EA3E54CE-238D-4364-BBD9-B4B0A1CADD66}"/>
            </a:ext>
          </a:extLst>
        </xdr:cNvPr>
        <xdr:cNvPicPr/>
      </xdr:nvPicPr>
      <xdr:blipFill>
        <a:blip xmlns:r="http://schemas.openxmlformats.org/officeDocument/2006/relationships" r:embed="rId5"/>
        <a:stretch/>
      </xdr:blipFill>
      <xdr:spPr>
        <a:xfrm>
          <a:off x="7239000" y="6583680"/>
          <a:ext cx="3378705" cy="2401121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586740</xdr:colOff>
      <xdr:row>9</xdr:row>
      <xdr:rowOff>99060</xdr:rowOff>
    </xdr:from>
    <xdr:to>
      <xdr:col>10</xdr:col>
      <xdr:colOff>1139954</xdr:colOff>
      <xdr:row>14</xdr:row>
      <xdr:rowOff>149844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C4BA09-BB7A-41DA-950E-F6F88AA329CC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9448800" y="1744980"/>
          <a:ext cx="2923034" cy="965184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426720</xdr:colOff>
      <xdr:row>16</xdr:row>
      <xdr:rowOff>137160</xdr:rowOff>
    </xdr:from>
    <xdr:to>
      <xdr:col>7</xdr:col>
      <xdr:colOff>960120</xdr:colOff>
      <xdr:row>21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FDB0B1-2651-4C6D-AE14-FD3B29B753B7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6050280" y="3063240"/>
          <a:ext cx="2148840" cy="929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327660</xdr:colOff>
      <xdr:row>22</xdr:row>
      <xdr:rowOff>167640</xdr:rowOff>
    </xdr:from>
    <xdr:to>
      <xdr:col>6</xdr:col>
      <xdr:colOff>734015</xdr:colOff>
      <xdr:row>25</xdr:row>
      <xdr:rowOff>171111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AC11230-2664-4717-9283-4B77EEB9C00D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4236720" y="4191000"/>
          <a:ext cx="2120855" cy="552111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5</xdr:col>
      <xdr:colOff>419100</xdr:colOff>
      <xdr:row>42</xdr:row>
      <xdr:rowOff>77287</xdr:rowOff>
    </xdr:to>
    <xdr:pic>
      <xdr:nvPicPr>
        <xdr:cNvPr id="5" name="Imagen 2">
          <a:extLst>
            <a:ext uri="{FF2B5EF4-FFF2-40B4-BE49-F238E27FC236}">
              <a16:creationId xmlns:a16="http://schemas.microsoft.com/office/drawing/2014/main" id="{8F849DCC-CB14-49A2-BF33-E55A3983D53B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609600" y="6400800"/>
          <a:ext cx="3718560" cy="1357447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9</xdr:col>
      <xdr:colOff>254505</xdr:colOff>
      <xdr:row>48</xdr:row>
      <xdr:rowOff>23681</xdr:rowOff>
    </xdr:to>
    <xdr:pic>
      <xdr:nvPicPr>
        <xdr:cNvPr id="6" name="Imagen 1">
          <a:extLst>
            <a:ext uri="{FF2B5EF4-FFF2-40B4-BE49-F238E27FC236}">
              <a16:creationId xmlns:a16="http://schemas.microsoft.com/office/drawing/2014/main" id="{A76D6BC8-AB00-473B-9660-7018C4A9E998}"/>
            </a:ext>
          </a:extLst>
        </xdr:cNvPr>
        <xdr:cNvPicPr/>
      </xdr:nvPicPr>
      <xdr:blipFill>
        <a:blip xmlns:r="http://schemas.openxmlformats.org/officeDocument/2006/relationships" r:embed="rId5"/>
        <a:stretch/>
      </xdr:blipFill>
      <xdr:spPr>
        <a:xfrm>
          <a:off x="7239000" y="6400800"/>
          <a:ext cx="3378705" cy="2401121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434340</xdr:colOff>
      <xdr:row>17</xdr:row>
      <xdr:rowOff>30480</xdr:rowOff>
    </xdr:from>
    <xdr:to>
      <xdr:col>7</xdr:col>
      <xdr:colOff>967740</xdr:colOff>
      <xdr:row>22</xdr:row>
      <xdr:rowOff>45720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4A2313-3B97-4185-B87C-72B40E902FAD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6057900" y="3139440"/>
          <a:ext cx="2148840" cy="929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617220</xdr:colOff>
      <xdr:row>11</xdr:row>
      <xdr:rowOff>114300</xdr:rowOff>
    </xdr:from>
    <xdr:to>
      <xdr:col>10</xdr:col>
      <xdr:colOff>1170434</xdr:colOff>
      <xdr:row>16</xdr:row>
      <xdr:rowOff>165084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AEFD324-3C48-46B8-B48F-A365467678A4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9479280" y="2125980"/>
          <a:ext cx="2923034" cy="965184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259080</xdr:colOff>
      <xdr:row>23</xdr:row>
      <xdr:rowOff>7620</xdr:rowOff>
    </xdr:from>
    <xdr:to>
      <xdr:col>6</xdr:col>
      <xdr:colOff>665435</xdr:colOff>
      <xdr:row>26</xdr:row>
      <xdr:rowOff>11091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AAF540E-EACF-4F81-8E30-DA064CC8B2E8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4168140" y="4213860"/>
          <a:ext cx="2120855" cy="552111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487680</xdr:colOff>
      <xdr:row>34</xdr:row>
      <xdr:rowOff>76200</xdr:rowOff>
    </xdr:from>
    <xdr:to>
      <xdr:col>9</xdr:col>
      <xdr:colOff>742185</xdr:colOff>
      <xdr:row>47</xdr:row>
      <xdr:rowOff>99881</xdr:rowOff>
    </xdr:to>
    <xdr:pic>
      <xdr:nvPicPr>
        <xdr:cNvPr id="5" name="Imagen 1">
          <a:extLst>
            <a:ext uri="{FF2B5EF4-FFF2-40B4-BE49-F238E27FC236}">
              <a16:creationId xmlns:a16="http://schemas.microsoft.com/office/drawing/2014/main" id="{7358F2D4-237F-4C6C-A3BB-C4859EC1B9D8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7726680" y="6294120"/>
          <a:ext cx="3378705" cy="2401121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259080</xdr:colOff>
      <xdr:row>34</xdr:row>
      <xdr:rowOff>83820</xdr:rowOff>
    </xdr:from>
    <xdr:to>
      <xdr:col>5</xdr:col>
      <xdr:colOff>68580</xdr:colOff>
      <xdr:row>41</xdr:row>
      <xdr:rowOff>161107</xdr:rowOff>
    </xdr:to>
    <xdr:pic>
      <xdr:nvPicPr>
        <xdr:cNvPr id="6" name="Imagen 2">
          <a:extLst>
            <a:ext uri="{FF2B5EF4-FFF2-40B4-BE49-F238E27FC236}">
              <a16:creationId xmlns:a16="http://schemas.microsoft.com/office/drawing/2014/main" id="{B668440F-86DB-4D74-AE96-154142219730}"/>
            </a:ext>
          </a:extLst>
        </xdr:cNvPr>
        <xdr:cNvPicPr/>
      </xdr:nvPicPr>
      <xdr:blipFill>
        <a:blip xmlns:r="http://schemas.openxmlformats.org/officeDocument/2006/relationships" r:embed="rId5"/>
        <a:stretch/>
      </xdr:blipFill>
      <xdr:spPr>
        <a:xfrm>
          <a:off x="259080" y="6301740"/>
          <a:ext cx="3718560" cy="1357447"/>
        </a:xfrm>
        <a:prstGeom prst="rect">
          <a:avLst/>
        </a:prstGeom>
        <a:ln w="0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" displayName="Table2" ref="C3:H13" headerRowDxfId="67" dataDxfId="65" totalsRowDxfId="66">
  <autoFilter ref="C3:H13" xr:uid="{00000000-0009-0000-0100-000001000000}">
    <filterColumn colId="0" showButton="0"/>
    <filterColumn colId="1" showButton="0"/>
    <filterColumn colId="2" showButton="0"/>
    <filterColumn colId="3" showButton="0"/>
    <filterColumn colId="4" showButton="0"/>
    <filterColumn colId="5" showButton="0"/>
  </autoFilter>
  <tableColumns count="6">
    <tableColumn id="1" xr3:uid="{00000000-0010-0000-0000-000001000000}" name="n" dataDxfId="73"/>
    <tableColumn id="2" xr3:uid="{00000000-0010-0000-0000-000002000000}" name="x" dataDxfId="72"/>
    <tableColumn id="3" xr3:uid="{00000000-0010-0000-0000-000003000000}" name="y" dataDxfId="71"/>
    <tableColumn id="4" xr3:uid="{00000000-0010-0000-0000-000004000000}" name="x^2" dataDxfId="70"/>
    <tableColumn id="5" xr3:uid="{00000000-0010-0000-0000-000005000000}" name="x*y" dataDxfId="69"/>
    <tableColumn id="6" xr3:uid="{00000000-0010-0000-0000-000006000000}" name="y^2" dataDxfId="68"/>
  </tableColumns>
  <tableStyleInfo name="TableStyleLight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3" displayName="Table3" ref="C14:H14" headerRowCount="0" headerRowDxfId="58" dataDxfId="56" totalsRowDxfId="57">
  <tableColumns count="6">
    <tableColumn id="1" xr3:uid="{00000000-0010-0000-0100-000001000000}" name="Column1" dataDxfId="64"/>
    <tableColumn id="2" xr3:uid="{00000000-0010-0000-0100-000002000000}" name="Column2" dataDxfId="63"/>
    <tableColumn id="3" xr3:uid="{00000000-0010-0000-0100-000003000000}" name="Column3" dataDxfId="62"/>
    <tableColumn id="4" xr3:uid="{00000000-0010-0000-0100-000004000000}" name="Column4" dataDxfId="61"/>
    <tableColumn id="5" xr3:uid="{00000000-0010-0000-0100-000005000000}" name="Column5" dataDxfId="60"/>
    <tableColumn id="6" xr3:uid="{00000000-0010-0000-0100-000006000000}" name="Column6" dataDxfId="59"/>
  </tableColumns>
  <tableStyleInfo name="TableStyleLight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5" displayName="Table5" ref="D15:E16" headerRowDxfId="53" dataDxfId="51" totalsRowDxfId="52">
  <autoFilter ref="D15:E16" xr:uid="{00000000-0009-0000-0100-000003000000}">
    <filterColumn colId="0" showButton="0"/>
    <filterColumn colId="1" showButton="0"/>
  </autoFilter>
  <tableColumns count="2">
    <tableColumn id="1" xr3:uid="{00000000-0010-0000-0200-000001000000}" name="Xavg" dataDxfId="55"/>
    <tableColumn id="2" xr3:uid="{00000000-0010-0000-0200-000002000000}" name="Yavg" dataDxfId="54"/>
  </tableColumns>
  <tableStyleInfo name="TableStyleLight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11" displayName="Table11" ref="B29:C32" headerRowCount="0" headerRowDxfId="10" dataDxfId="8" totalsRowDxfId="9" tableBorderDxfId="13">
  <tableColumns count="2">
    <tableColumn id="1" xr3:uid="{00000000-0010-0000-0300-000001000000}" name="Column1" dataDxfId="12"/>
    <tableColumn id="2" xr3:uid="{00000000-0010-0000-0300-000002000000}" name="Column2" dataDxfId="11"/>
  </tableColumns>
  <tableStyleInfo name="TableStyleLight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13" displayName="Table13" ref="B24:E26" headerRowCount="0" headerRowDxfId="44" dataDxfId="42" totalsRowDxfId="43" tableBorderDxfId="49">
  <tableColumns count="4">
    <tableColumn id="1" xr3:uid="{00000000-0010-0000-0400-000001000000}" name="Column1" dataDxfId="48"/>
    <tableColumn id="2" xr3:uid="{00000000-0010-0000-0400-000002000000}" name="Column2" dataDxfId="47"/>
    <tableColumn id="3" xr3:uid="{00000000-0010-0000-0400-000003000000}" name="Column3" dataDxfId="46"/>
    <tableColumn id="4" xr3:uid="{00000000-0010-0000-0400-000004000000}" name="Column4" dataDxfId="45"/>
  </tableColumns>
  <tableStyleInfo name="TableStyleLight1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16" displayName="Table16" ref="B18:F22" headerRowCount="0" headerRowDxfId="15" dataDxfId="50" totalsRowDxfId="14" tableBorderDxfId="21">
  <tableColumns count="5">
    <tableColumn id="1" xr3:uid="{00000000-0010-0000-0500-000001000000}" name="Column1" dataDxfId="20"/>
    <tableColumn id="2" xr3:uid="{00000000-0010-0000-0500-000002000000}" name="Column2" dataDxfId="19"/>
    <tableColumn id="3" xr3:uid="{00000000-0010-0000-0500-000003000000}" name="Column3" dataDxfId="18"/>
    <tableColumn id="4" xr3:uid="{00000000-0010-0000-0500-000004000000}" name="Column4" dataDxfId="17"/>
    <tableColumn id="5" xr3:uid="{00000000-0010-0000-0500-000005000000}" name="Column5" dataDxfId="16"/>
  </tableColumns>
  <tableStyleInfo name="TableStyleLight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19" displayName="Table19" ref="G33:H34" headerRowCount="0" headerRowDxfId="39" dataDxfId="37" totalsRowDxfId="38">
  <tableColumns count="2">
    <tableColumn id="1" xr3:uid="{00000000-0010-0000-0600-000001000000}" name="Column1" dataDxfId="41"/>
    <tableColumn id="2" xr3:uid="{00000000-0010-0000-0600-000002000000}" name="Column2" dataDxfId="40"/>
  </tableColumns>
  <tableStyleInfo name="TableStyleLight6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20" displayName="Table20" ref="G27:K28" headerRowCount="0" headerRowDxfId="31" dataDxfId="29" totalsRowDxfId="30">
  <tableColumns count="5">
    <tableColumn id="1" xr3:uid="{00000000-0010-0000-0700-000001000000}" name="Column1" dataDxfId="36"/>
    <tableColumn id="2" xr3:uid="{00000000-0010-0000-0700-000002000000}" name="Column2" dataDxfId="35"/>
    <tableColumn id="3" xr3:uid="{00000000-0010-0000-0700-000003000000}" name="Column3" dataDxfId="34"/>
    <tableColumn id="4" xr3:uid="{00000000-0010-0000-0700-000004000000}" name="Column4" dataDxfId="33"/>
    <tableColumn id="5" xr3:uid="{00000000-0010-0000-0700-000005000000}" name="Column5" dataDxfId="32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21" displayName="Table21" ref="G29:J32" headerRowCount="0" headerRowDxfId="24" dataDxfId="22" totalsRowDxfId="23">
  <tableColumns count="4">
    <tableColumn id="1" xr3:uid="{00000000-0010-0000-0800-000001000000}" name="Column1" dataDxfId="28"/>
    <tableColumn id="2" xr3:uid="{00000000-0010-0000-0800-000002000000}" name="Column2" dataDxfId="27"/>
    <tableColumn id="3" xr3:uid="{00000000-0010-0000-0800-000003000000}" name="Column3" dataDxfId="26"/>
    <tableColumn id="4" xr3:uid="{00000000-0010-0000-0800-000004000000}" name="Column4" dataDxfId="25"/>
  </tableColumns>
  <tableStyleInfo name="TableStyleLight3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1" displayName="Table1" ref="C3:H13" headerRowDxfId="125" dataDxfId="123" totalsRowDxfId="124">
  <autoFilter ref="C3:H13" xr:uid="{00000000-0009-0000-0100-00000A000000}">
    <filterColumn colId="0" showButton="0"/>
    <filterColumn colId="1" showButton="0"/>
    <filterColumn colId="2" showButton="0"/>
    <filterColumn colId="3" showButton="0"/>
    <filterColumn colId="4" showButton="0"/>
    <filterColumn colId="5" showButton="0"/>
  </autoFilter>
  <tableColumns count="6">
    <tableColumn id="1" xr3:uid="{00000000-0010-0000-0900-000001000000}" name="n" dataDxfId="131"/>
    <tableColumn id="2" xr3:uid="{00000000-0010-0000-0900-000002000000}" name="x" dataDxfId="130"/>
    <tableColumn id="3" xr3:uid="{00000000-0010-0000-0900-000003000000}" name="y" dataDxfId="129"/>
    <tableColumn id="4" xr3:uid="{00000000-0010-0000-0900-000004000000}" name="x^2" dataDxfId="128"/>
    <tableColumn id="5" xr3:uid="{00000000-0010-0000-0900-000005000000}" name="x*y" dataDxfId="127"/>
    <tableColumn id="6" xr3:uid="{00000000-0010-0000-0900-000006000000}" name="y^2" dataDxfId="126"/>
  </tableColumns>
  <tableStyleInfo name="TableStyleLight6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4" displayName="Table4" ref="C14:H14" headerRowCount="0" headerRowDxfId="116" dataDxfId="114" totalsRowDxfId="115">
  <tableColumns count="6">
    <tableColumn id="1" xr3:uid="{00000000-0010-0000-0A00-000001000000}" name="Column1" dataDxfId="122"/>
    <tableColumn id="2" xr3:uid="{00000000-0010-0000-0A00-000002000000}" name="Column2" dataDxfId="121"/>
    <tableColumn id="3" xr3:uid="{00000000-0010-0000-0A00-000003000000}" name="Column3" dataDxfId="120"/>
    <tableColumn id="4" xr3:uid="{00000000-0010-0000-0A00-000004000000}" name="Column4" dataDxfId="119"/>
    <tableColumn id="5" xr3:uid="{00000000-0010-0000-0A00-000005000000}" name="Column5" dataDxfId="118"/>
    <tableColumn id="6" xr3:uid="{00000000-0010-0000-0A00-000006000000}" name="Column6" dataDxfId="117"/>
  </tableColumns>
  <tableStyleInfo name="TableStyleLight3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6" displayName="Table6" ref="D15:E16" headerRowDxfId="111" dataDxfId="109" totalsRowDxfId="110">
  <autoFilter ref="D15:E16" xr:uid="{00000000-0009-0000-0100-00000C000000}">
    <filterColumn colId="0" showButton="0"/>
    <filterColumn colId="1" showButton="0"/>
  </autoFilter>
  <tableColumns count="2">
    <tableColumn id="1" xr3:uid="{00000000-0010-0000-0B00-000001000000}" name="Xavg" dataDxfId="113"/>
    <tableColumn id="2" xr3:uid="{00000000-0010-0000-0B00-000002000000}" name="Yavg" dataDxfId="112"/>
  </tableColumns>
  <tableStyleInfo name="TableStyleLight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7" displayName="Table7" ref="B29:C32" headerRowCount="0" headerRowDxfId="96" dataDxfId="94" totalsRowDxfId="95" tableBorderDxfId="99">
  <tableColumns count="2">
    <tableColumn id="1" xr3:uid="{00000000-0010-0000-0C00-000001000000}" name="Column1" dataDxfId="98"/>
    <tableColumn id="2" xr3:uid="{00000000-0010-0000-0C00-000002000000}" name="Column2" dataDxfId="97"/>
  </tableColumns>
  <tableStyleInfo name="TableStyleLight6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8" displayName="Table8" ref="B24:E26" headerRowCount="0" headerRowDxfId="101" dataDxfId="107" totalsRowDxfId="100" tableBorderDxfId="106">
  <tableColumns count="4">
    <tableColumn id="1" xr3:uid="{00000000-0010-0000-0D00-000001000000}" name="Column1" dataDxfId="105"/>
    <tableColumn id="2" xr3:uid="{00000000-0010-0000-0D00-000002000000}" name="Column2" dataDxfId="104"/>
    <tableColumn id="3" xr3:uid="{00000000-0010-0000-0D00-000003000000}" name="Column3" dataDxfId="103"/>
    <tableColumn id="4" xr3:uid="{00000000-0010-0000-0D00-000004000000}" name="Column4" dataDxfId="102"/>
  </tableColumns>
  <tableStyleInfo name="TableStyleLight14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9" displayName="Table9" ref="B18:F22" headerRowCount="0" headerRowDxfId="1" dataDxfId="108" totalsRowDxfId="0" tableBorderDxfId="7">
  <tableColumns count="5">
    <tableColumn id="1" xr3:uid="{00000000-0010-0000-0E00-000001000000}" name="Column1" dataDxfId="6"/>
    <tableColumn id="2" xr3:uid="{00000000-0010-0000-0E00-000002000000}" name="Column2" dataDxfId="5"/>
    <tableColumn id="3" xr3:uid="{00000000-0010-0000-0E00-000003000000}" name="Column3" dataDxfId="4"/>
    <tableColumn id="4" xr3:uid="{00000000-0010-0000-0E00-000004000000}" name="Column4" dataDxfId="3"/>
    <tableColumn id="5" xr3:uid="{00000000-0010-0000-0E00-000005000000}" name="Column5" dataDxfId="2"/>
  </tableColumns>
  <tableStyleInfo name="TableStyleLight3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10" displayName="Table10" ref="G33:H34" headerRowCount="0" headerRowDxfId="91" dataDxfId="89" totalsRowDxfId="90">
  <tableColumns count="2">
    <tableColumn id="1" xr3:uid="{00000000-0010-0000-0F00-000001000000}" name="Column1" dataDxfId="93"/>
    <tableColumn id="2" xr3:uid="{00000000-0010-0000-0F00-000002000000}" name="Column2" dataDxfId="92"/>
  </tableColumns>
  <tableStyleInfo name="TableStyleLight6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e12" displayName="Table12" ref="G27:K28" headerRowCount="0" headerRowDxfId="83" dataDxfId="81" totalsRowDxfId="82">
  <tableColumns count="5">
    <tableColumn id="1" xr3:uid="{00000000-0010-0000-1000-000001000000}" name="Column1" dataDxfId="88"/>
    <tableColumn id="2" xr3:uid="{00000000-0010-0000-1000-000002000000}" name="Column2" dataDxfId="87"/>
    <tableColumn id="3" xr3:uid="{00000000-0010-0000-1000-000003000000}" name="Column3" dataDxfId="86"/>
    <tableColumn id="4" xr3:uid="{00000000-0010-0000-1000-000004000000}" name="Column4" dataDxfId="85"/>
    <tableColumn id="5" xr3:uid="{00000000-0010-0000-1000-000005000000}" name="Column5" dataDxfId="84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able14" displayName="Table14" ref="G29:J32" headerRowCount="0" headerRowDxfId="76" dataDxfId="74" totalsRowDxfId="75">
  <tableColumns count="4">
    <tableColumn id="1" xr3:uid="{00000000-0010-0000-1100-000001000000}" name="Column1" dataDxfId="80"/>
    <tableColumn id="2" xr3:uid="{00000000-0010-0000-1100-000002000000}" name="Column2" dataDxfId="79"/>
    <tableColumn id="3" xr3:uid="{00000000-0010-0000-1100-000003000000}" name="Column3" dataDxfId="78"/>
    <tableColumn id="4" xr3:uid="{00000000-0010-0000-1100-000004000000}" name="Column4" dataDxfId="77"/>
  </tableColumns>
  <tableStyleInfo name="TableStyleLight3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able15" displayName="Table15" ref="C3:H13" headerRowDxfId="171" dataDxfId="169" totalsRowDxfId="170">
  <autoFilter ref="C3:H13" xr:uid="{00000000-0009-0000-0100-000013000000}">
    <filterColumn colId="0" showButton="0"/>
    <filterColumn colId="1" showButton="0"/>
    <filterColumn colId="2" showButton="0"/>
    <filterColumn colId="3" showButton="0"/>
    <filterColumn colId="4" showButton="0"/>
    <filterColumn colId="5" showButton="0"/>
  </autoFilter>
  <tableColumns count="6">
    <tableColumn id="1" xr3:uid="{00000000-0010-0000-1200-000001000000}" name="n" dataDxfId="177"/>
    <tableColumn id="2" xr3:uid="{00000000-0010-0000-1200-000002000000}" name="x" dataDxfId="176"/>
    <tableColumn id="3" xr3:uid="{00000000-0010-0000-1200-000003000000}" name="y" dataDxfId="175"/>
    <tableColumn id="4" xr3:uid="{00000000-0010-0000-1200-000004000000}" name="x^2" dataDxfId="174"/>
    <tableColumn id="5" xr3:uid="{00000000-0010-0000-1200-000005000000}" name="x*y" dataDxfId="173"/>
    <tableColumn id="6" xr3:uid="{00000000-0010-0000-1200-000006000000}" name="y^2" dataDxfId="172"/>
  </tableColumns>
  <tableStyleInfo name="TableStyleLight6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able17" displayName="Table17" ref="C14:H14" headerRowCount="0" headerRowDxfId="162" dataDxfId="160" totalsRowDxfId="161">
  <tableColumns count="6">
    <tableColumn id="1" xr3:uid="{00000000-0010-0000-1300-000001000000}" name="Column1" dataDxfId="168"/>
    <tableColumn id="2" xr3:uid="{00000000-0010-0000-1300-000002000000}" name="Column2" dataDxfId="167"/>
    <tableColumn id="3" xr3:uid="{00000000-0010-0000-1300-000003000000}" name="Column3" dataDxfId="166"/>
    <tableColumn id="4" xr3:uid="{00000000-0010-0000-1300-000004000000}" name="Column4" dataDxfId="165"/>
    <tableColumn id="5" xr3:uid="{00000000-0010-0000-1300-000005000000}" name="Column5" dataDxfId="164"/>
    <tableColumn id="6" xr3:uid="{00000000-0010-0000-1300-000006000000}" name="Column6" dataDxfId="163"/>
  </tableColumns>
  <tableStyleInfo name="TableStyleLight3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able18" displayName="Table18" ref="D15:E16" headerRowDxfId="157" dataDxfId="155" totalsRowDxfId="156">
  <autoFilter ref="D15:E16" xr:uid="{00000000-0009-0000-0100-000015000000}">
    <filterColumn colId="0" showButton="0"/>
    <filterColumn colId="1" showButton="0"/>
  </autoFilter>
  <tableColumns count="2">
    <tableColumn id="1" xr3:uid="{00000000-0010-0000-1400-000001000000}" name="Xavg" dataDxfId="159"/>
    <tableColumn id="2" xr3:uid="{00000000-0010-0000-1400-000002000000}" name="Yavg" dataDxfId="158"/>
  </tableColumns>
  <tableStyleInfo name="TableStyleLight7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able22" displayName="Table22" ref="B29:C32" headerRowCount="0" headerRowDxfId="134" dataDxfId="132" totalsRowDxfId="133" tableBorderDxfId="137">
  <tableColumns count="2">
    <tableColumn id="1" xr3:uid="{00000000-0010-0000-1500-000001000000}" name="Column1" dataDxfId="136"/>
    <tableColumn id="2" xr3:uid="{00000000-0010-0000-1500-000002000000}" name="Column2" dataDxfId="135"/>
  </tableColumns>
  <tableStyleInfo name="TableStyleLight6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able23" displayName="Table23" ref="B24:E26" headerRowCount="0" headerRowDxfId="139" dataDxfId="145" totalsRowDxfId="138" tableBorderDxfId="144">
  <tableColumns count="4">
    <tableColumn id="1" xr3:uid="{00000000-0010-0000-1600-000001000000}" name="Column1" dataDxfId="143"/>
    <tableColumn id="2" xr3:uid="{00000000-0010-0000-1600-000002000000}" name="Column2" dataDxfId="142"/>
    <tableColumn id="3" xr3:uid="{00000000-0010-0000-1600-000003000000}" name="Column3" dataDxfId="141"/>
    <tableColumn id="4" xr3:uid="{00000000-0010-0000-1600-000004000000}" name="Column4" dataDxfId="140"/>
  </tableColumns>
  <tableStyleInfo name="TableStyleLight14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Table24" displayName="Table24" ref="B18:F22" headerRowCount="0" headerRowDxfId="147" dataDxfId="154" totalsRowDxfId="146" tableBorderDxfId="153">
  <tableColumns count="5">
    <tableColumn id="1" xr3:uid="{00000000-0010-0000-1700-000001000000}" name="Column1" dataDxfId="152"/>
    <tableColumn id="2" xr3:uid="{00000000-0010-0000-1700-000002000000}" name="Column2" dataDxfId="151"/>
    <tableColumn id="3" xr3:uid="{00000000-0010-0000-1700-000003000000}" name="Column3" dataDxfId="150"/>
    <tableColumn id="4" xr3:uid="{00000000-0010-0000-1700-000004000000}" name="Column4" dataDxfId="149"/>
    <tableColumn id="5" xr3:uid="{00000000-0010-0000-1700-000005000000}" name="Column5" dataDxfId="148"/>
  </tableColumns>
  <tableStyleInfo name="TableStyleLight3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Table25" displayName="Table25" ref="G33:H34" headerRowCount="0" headerRowDxfId="195" dataDxfId="193" totalsRowDxfId="194">
  <tableColumns count="2">
    <tableColumn id="1" xr3:uid="{00000000-0010-0000-1800-000001000000}" name="Column1" dataDxfId="197"/>
    <tableColumn id="2" xr3:uid="{00000000-0010-0000-1800-000002000000}" name="Column2" dataDxfId="196"/>
  </tableColumns>
  <tableStyleInfo name="TableStyleLight6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Table26" displayName="Table26" ref="G27:K28" headerRowCount="0" headerRowDxfId="187" dataDxfId="185" totalsRowDxfId="186">
  <tableColumns count="5">
    <tableColumn id="1" xr3:uid="{00000000-0010-0000-1900-000001000000}" name="Column1" dataDxfId="192"/>
    <tableColumn id="2" xr3:uid="{00000000-0010-0000-1900-000002000000}" name="Column2" dataDxfId="191"/>
    <tableColumn id="3" xr3:uid="{00000000-0010-0000-1900-000003000000}" name="Column3" dataDxfId="190"/>
    <tableColumn id="4" xr3:uid="{00000000-0010-0000-1900-000004000000}" name="Column4" dataDxfId="189"/>
    <tableColumn id="5" xr3:uid="{00000000-0010-0000-1900-000005000000}" name="Column5" dataDxfId="188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Table27" displayName="Table27" ref="G29:J32" headerRowCount="0" headerRowDxfId="180" dataDxfId="178" totalsRowDxfId="179">
  <tableColumns count="4">
    <tableColumn id="1" xr3:uid="{00000000-0010-0000-1A00-000001000000}" name="Column1" dataDxfId="184"/>
    <tableColumn id="2" xr3:uid="{00000000-0010-0000-1A00-000002000000}" name="Column2" dataDxfId="183"/>
    <tableColumn id="3" xr3:uid="{00000000-0010-0000-1A00-000003000000}" name="Column3" dataDxfId="182"/>
    <tableColumn id="4" xr3:uid="{00000000-0010-0000-1A00-000004000000}" name="Column4" dataDxfId="181"/>
  </tableColumns>
  <tableStyleInfo name="TableStyleLight3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Table28" displayName="Table28" ref="C3:H13" headerRowDxfId="243" dataDxfId="241" totalsRowDxfId="242">
  <autoFilter ref="C3:H13" xr:uid="{00000000-0009-0000-0100-00001C000000}">
    <filterColumn colId="0" showButton="0"/>
    <filterColumn colId="1" showButton="0"/>
    <filterColumn colId="2" showButton="0"/>
    <filterColumn colId="3" showButton="0"/>
    <filterColumn colId="4" showButton="0"/>
    <filterColumn colId="5" showButton="0"/>
  </autoFilter>
  <tableColumns count="6">
    <tableColumn id="1" xr3:uid="{00000000-0010-0000-1B00-000001000000}" name="n" dataDxfId="249"/>
    <tableColumn id="2" xr3:uid="{00000000-0010-0000-1B00-000002000000}" name="x" dataDxfId="248"/>
    <tableColumn id="3" xr3:uid="{00000000-0010-0000-1B00-000003000000}" name="y" dataDxfId="247"/>
    <tableColumn id="4" xr3:uid="{00000000-0010-0000-1B00-000004000000}" name="x^2" dataDxfId="246"/>
    <tableColumn id="5" xr3:uid="{00000000-0010-0000-1B00-000005000000}" name="x*y" dataDxfId="245"/>
    <tableColumn id="6" xr3:uid="{00000000-0010-0000-1B00-000006000000}" name="y^2" dataDxfId="244"/>
  </tableColumns>
  <tableStyleInfo name="TableStyleLight6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Table29" displayName="Table29" ref="C14:H14" headerRowCount="0" headerRowDxfId="234" dataDxfId="232" totalsRowDxfId="233">
  <tableColumns count="6">
    <tableColumn id="1" xr3:uid="{00000000-0010-0000-1C00-000001000000}" name="Column1" dataDxfId="240"/>
    <tableColumn id="2" xr3:uid="{00000000-0010-0000-1C00-000002000000}" name="Column2" dataDxfId="239"/>
    <tableColumn id="3" xr3:uid="{00000000-0010-0000-1C00-000003000000}" name="Column3" dataDxfId="238"/>
    <tableColumn id="4" xr3:uid="{00000000-0010-0000-1C00-000004000000}" name="Column4" dataDxfId="237"/>
    <tableColumn id="5" xr3:uid="{00000000-0010-0000-1C00-000005000000}" name="Column5" dataDxfId="236"/>
    <tableColumn id="6" xr3:uid="{00000000-0010-0000-1C00-000006000000}" name="Column6" dataDxfId="235"/>
  </tableColumns>
  <tableStyleInfo name="TableStyleLight3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Table30" displayName="Table30" ref="D15:E16" headerRowDxfId="229" dataDxfId="227" totalsRowDxfId="228">
  <autoFilter ref="D15:E16" xr:uid="{00000000-0009-0000-0100-00001E000000}">
    <filterColumn colId="0" showButton="0"/>
    <filterColumn colId="1" showButton="0"/>
  </autoFilter>
  <tableColumns count="2">
    <tableColumn id="1" xr3:uid="{00000000-0010-0000-1D00-000001000000}" name="Xavg" dataDxfId="231"/>
    <tableColumn id="2" xr3:uid="{00000000-0010-0000-1D00-000002000000}" name="Yavg" dataDxfId="230"/>
  </tableColumns>
  <tableStyleInfo name="TableStyleLight7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Table31" displayName="Table31" ref="B29:C32" headerRowCount="0" headerRowDxfId="252" dataDxfId="250" totalsRowDxfId="251" tableBorderDxfId="255">
  <tableColumns count="2">
    <tableColumn id="1" xr3:uid="{00000000-0010-0000-1E00-000001000000}" name="Column1" dataDxfId="254"/>
    <tableColumn id="2" xr3:uid="{00000000-0010-0000-1E00-000002000000}" name="Column2" dataDxfId="253"/>
  </tableColumns>
  <tableStyleInfo name="TableStyleLight6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F000000}" name="Table32" displayName="Table32" ref="B24:E26" headerRowCount="0" headerRowDxfId="258" dataDxfId="256" totalsRowDxfId="257" tableBorderDxfId="263">
  <tableColumns count="4">
    <tableColumn id="1" xr3:uid="{00000000-0010-0000-1F00-000001000000}" name="Column1" dataDxfId="262"/>
    <tableColumn id="2" xr3:uid="{00000000-0010-0000-1F00-000002000000}" name="Column2" dataDxfId="261"/>
    <tableColumn id="3" xr3:uid="{00000000-0010-0000-1F00-000003000000}" name="Column3" dataDxfId="260"/>
    <tableColumn id="4" xr3:uid="{00000000-0010-0000-1F00-000004000000}" name="Column4" dataDxfId="259"/>
  </tableColumns>
  <tableStyleInfo name="TableStyleLight14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20000000}" name="Table33" displayName="Table33" ref="B18:F22" headerRowCount="0" headerRowDxfId="220" dataDxfId="218" totalsRowDxfId="219" tableBorderDxfId="226">
  <tableColumns count="5">
    <tableColumn id="1" xr3:uid="{00000000-0010-0000-2000-000001000000}" name="Column1" dataDxfId="225"/>
    <tableColumn id="2" xr3:uid="{00000000-0010-0000-2000-000002000000}" name="Column2" dataDxfId="224"/>
    <tableColumn id="3" xr3:uid="{00000000-0010-0000-2000-000003000000}" name="Column3" dataDxfId="223"/>
    <tableColumn id="4" xr3:uid="{00000000-0010-0000-2000-000004000000}" name="Column4" dataDxfId="222"/>
    <tableColumn id="5" xr3:uid="{00000000-0010-0000-2000-000005000000}" name="Column5" dataDxfId="221"/>
  </tableColumns>
  <tableStyleInfo name="TableStyleLight3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21000000}" name="Table34" displayName="Table34" ref="G33:H34" headerRowCount="0" headerRowDxfId="215" dataDxfId="213" totalsRowDxfId="214">
  <tableColumns count="2">
    <tableColumn id="1" xr3:uid="{00000000-0010-0000-2100-000001000000}" name="Column1" dataDxfId="217"/>
    <tableColumn id="2" xr3:uid="{00000000-0010-0000-2100-000002000000}" name="Column2" dataDxfId="216"/>
  </tableColumns>
  <tableStyleInfo name="TableStyleLight6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22000000}" name="Table35" displayName="Table35" ref="G27:K28" headerRowCount="0" headerRowDxfId="207" dataDxfId="205" totalsRowDxfId="206">
  <tableColumns count="5">
    <tableColumn id="1" xr3:uid="{00000000-0010-0000-2200-000001000000}" name="Column1" dataDxfId="212"/>
    <tableColumn id="2" xr3:uid="{00000000-0010-0000-2200-000002000000}" name="Column2" dataDxfId="211"/>
    <tableColumn id="3" xr3:uid="{00000000-0010-0000-2200-000003000000}" name="Column3" dataDxfId="210"/>
    <tableColumn id="4" xr3:uid="{00000000-0010-0000-2200-000004000000}" name="Column4" dataDxfId="209"/>
    <tableColumn id="5" xr3:uid="{00000000-0010-0000-2200-000005000000}" name="Column5" dataDxfId="208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23000000}" name="Table36" displayName="Table36" ref="G29:J32" headerRowCount="0" headerRowDxfId="200" dataDxfId="198" totalsRowDxfId="199">
  <tableColumns count="4">
    <tableColumn id="1" xr3:uid="{00000000-0010-0000-2300-000001000000}" name="Column1" dataDxfId="204"/>
    <tableColumn id="2" xr3:uid="{00000000-0010-0000-2300-000002000000}" name="Column2" dataDxfId="203"/>
    <tableColumn id="3" xr3:uid="{00000000-0010-0000-2300-000003000000}" name="Column3" dataDxfId="202"/>
    <tableColumn id="4" xr3:uid="{00000000-0010-0000-2300-000004000000}" name="Column4" dataDxfId="201"/>
  </tableColumns>
  <tableStyleInfo name="TableStyleLight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6.xml"/><Relationship Id="rId3" Type="http://schemas.openxmlformats.org/officeDocument/2006/relationships/table" Target="../tables/table11.xml"/><Relationship Id="rId7" Type="http://schemas.openxmlformats.org/officeDocument/2006/relationships/table" Target="../tables/table15.xml"/><Relationship Id="rId2" Type="http://schemas.openxmlformats.org/officeDocument/2006/relationships/table" Target="../tables/table10.xml"/><Relationship Id="rId1" Type="http://schemas.openxmlformats.org/officeDocument/2006/relationships/drawing" Target="../drawings/drawing2.xml"/><Relationship Id="rId6" Type="http://schemas.openxmlformats.org/officeDocument/2006/relationships/table" Target="../tables/table14.xml"/><Relationship Id="rId5" Type="http://schemas.openxmlformats.org/officeDocument/2006/relationships/table" Target="../tables/table13.xml"/><Relationship Id="rId10" Type="http://schemas.openxmlformats.org/officeDocument/2006/relationships/table" Target="../tables/table18.xml"/><Relationship Id="rId4" Type="http://schemas.openxmlformats.org/officeDocument/2006/relationships/table" Target="../tables/table12.xml"/><Relationship Id="rId9" Type="http://schemas.openxmlformats.org/officeDocument/2006/relationships/table" Target="../tables/table17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5.xml"/><Relationship Id="rId3" Type="http://schemas.openxmlformats.org/officeDocument/2006/relationships/table" Target="../tables/table20.xml"/><Relationship Id="rId7" Type="http://schemas.openxmlformats.org/officeDocument/2006/relationships/table" Target="../tables/table24.xml"/><Relationship Id="rId2" Type="http://schemas.openxmlformats.org/officeDocument/2006/relationships/table" Target="../tables/table19.xml"/><Relationship Id="rId1" Type="http://schemas.openxmlformats.org/officeDocument/2006/relationships/drawing" Target="../drawings/drawing3.xml"/><Relationship Id="rId6" Type="http://schemas.openxmlformats.org/officeDocument/2006/relationships/table" Target="../tables/table23.xml"/><Relationship Id="rId5" Type="http://schemas.openxmlformats.org/officeDocument/2006/relationships/table" Target="../tables/table22.xml"/><Relationship Id="rId10" Type="http://schemas.openxmlformats.org/officeDocument/2006/relationships/table" Target="../tables/table27.xml"/><Relationship Id="rId4" Type="http://schemas.openxmlformats.org/officeDocument/2006/relationships/table" Target="../tables/table21.xml"/><Relationship Id="rId9" Type="http://schemas.openxmlformats.org/officeDocument/2006/relationships/table" Target="../tables/table26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4.xml"/><Relationship Id="rId3" Type="http://schemas.openxmlformats.org/officeDocument/2006/relationships/table" Target="../tables/table29.xml"/><Relationship Id="rId7" Type="http://schemas.openxmlformats.org/officeDocument/2006/relationships/table" Target="../tables/table33.xml"/><Relationship Id="rId2" Type="http://schemas.openxmlformats.org/officeDocument/2006/relationships/table" Target="../tables/table28.xml"/><Relationship Id="rId1" Type="http://schemas.openxmlformats.org/officeDocument/2006/relationships/drawing" Target="../drawings/drawing4.xml"/><Relationship Id="rId6" Type="http://schemas.openxmlformats.org/officeDocument/2006/relationships/table" Target="../tables/table32.xml"/><Relationship Id="rId5" Type="http://schemas.openxmlformats.org/officeDocument/2006/relationships/table" Target="../tables/table31.xml"/><Relationship Id="rId10" Type="http://schemas.openxmlformats.org/officeDocument/2006/relationships/table" Target="../tables/table36.xml"/><Relationship Id="rId4" Type="http://schemas.openxmlformats.org/officeDocument/2006/relationships/table" Target="../tables/table30.xml"/><Relationship Id="rId9" Type="http://schemas.openxmlformats.org/officeDocument/2006/relationships/table" Target="../tables/table3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K35"/>
  <sheetViews>
    <sheetView tabSelected="1" workbookViewId="0">
      <selection activeCell="I37" sqref="I37"/>
    </sheetView>
  </sheetViews>
  <sheetFormatPr defaultRowHeight="14.4" x14ac:dyDescent="0.3"/>
  <cols>
    <col min="2" max="2" width="10.33203125" bestFit="1"/>
    <col min="3" max="3" width="13.44140625" customWidth="1"/>
    <col min="4" max="4" width="13" customWidth="1"/>
    <col min="5" max="5" width="11.33203125" customWidth="1"/>
    <col min="6" max="6" width="25" customWidth="1"/>
    <col min="7" max="7" width="23.5546875" customWidth="1"/>
    <col min="8" max="8" width="23.6640625" bestFit="1" customWidth="1"/>
    <col min="9" max="9" width="21.88671875" bestFit="1"/>
    <col min="10" max="10" width="12.6640625" bestFit="1"/>
    <col min="11" max="11" width="28.21875" bestFit="1"/>
    <col min="12" max="12" width="10.44140625" bestFit="1"/>
  </cols>
  <sheetData>
    <row r="3" spans="3:11" x14ac:dyDescent="0.3">
      <c r="C3" s="17" t="s">
        <v>0</v>
      </c>
      <c r="D3" s="17" t="s">
        <v>1</v>
      </c>
      <c r="E3" s="17" t="s">
        <v>2</v>
      </c>
      <c r="F3" s="17" t="s">
        <v>3</v>
      </c>
      <c r="G3" s="17" t="s">
        <v>4</v>
      </c>
      <c r="H3" s="17" t="s">
        <v>5</v>
      </c>
    </row>
    <row r="4" spans="3:11" x14ac:dyDescent="0.3">
      <c r="C4" s="17">
        <v>1</v>
      </c>
      <c r="D4" s="17">
        <v>130</v>
      </c>
      <c r="E4" s="17">
        <v>186</v>
      </c>
      <c r="F4" s="17">
        <f t="shared" ref="F4:F9" si="0">D4^2</f>
        <v>16900</v>
      </c>
      <c r="G4" s="17">
        <f t="shared" ref="G4:G9" si="1">D4*E4</f>
        <v>24180</v>
      </c>
      <c r="H4" s="17">
        <f t="shared" ref="H4:H9" si="2">E4^2</f>
        <v>34596</v>
      </c>
    </row>
    <row r="5" spans="3:11" x14ac:dyDescent="0.3">
      <c r="C5" s="17">
        <v>2</v>
      </c>
      <c r="D5" s="17">
        <v>650</v>
      </c>
      <c r="E5" s="17">
        <v>699</v>
      </c>
      <c r="F5" s="17">
        <f t="shared" si="0"/>
        <v>422500</v>
      </c>
      <c r="G5" s="17">
        <f t="shared" si="1"/>
        <v>454350</v>
      </c>
      <c r="H5" s="17">
        <f t="shared" si="2"/>
        <v>488601</v>
      </c>
    </row>
    <row r="6" spans="3:11" x14ac:dyDescent="0.3">
      <c r="C6" s="17">
        <v>3</v>
      </c>
      <c r="D6" s="17">
        <v>99</v>
      </c>
      <c r="E6" s="17">
        <v>132</v>
      </c>
      <c r="F6" s="17">
        <f t="shared" si="0"/>
        <v>9801</v>
      </c>
      <c r="G6" s="17">
        <f t="shared" si="1"/>
        <v>13068</v>
      </c>
      <c r="H6" s="17">
        <f t="shared" si="2"/>
        <v>17424</v>
      </c>
    </row>
    <row r="7" spans="3:11" x14ac:dyDescent="0.3">
      <c r="C7" s="17">
        <v>4</v>
      </c>
      <c r="D7" s="17">
        <v>150</v>
      </c>
      <c r="E7" s="17">
        <v>272</v>
      </c>
      <c r="F7" s="17">
        <f t="shared" si="0"/>
        <v>22500</v>
      </c>
      <c r="G7" s="17">
        <f t="shared" si="1"/>
        <v>40800</v>
      </c>
      <c r="H7" s="17">
        <f t="shared" si="2"/>
        <v>73984</v>
      </c>
    </row>
    <row r="8" spans="3:11" x14ac:dyDescent="0.3">
      <c r="C8" s="17">
        <v>5</v>
      </c>
      <c r="D8" s="17">
        <v>128</v>
      </c>
      <c r="E8" s="17">
        <v>291</v>
      </c>
      <c r="F8" s="17">
        <f t="shared" si="0"/>
        <v>16384</v>
      </c>
      <c r="G8" s="17">
        <f t="shared" si="1"/>
        <v>37248</v>
      </c>
      <c r="H8" s="17">
        <f t="shared" si="2"/>
        <v>84681</v>
      </c>
    </row>
    <row r="9" spans="3:11" x14ac:dyDescent="0.3">
      <c r="C9" s="17">
        <v>6</v>
      </c>
      <c r="D9" s="17">
        <v>302</v>
      </c>
      <c r="E9" s="17">
        <v>331</v>
      </c>
      <c r="F9" s="17">
        <f t="shared" si="0"/>
        <v>91204</v>
      </c>
      <c r="G9" s="17">
        <f t="shared" si="1"/>
        <v>99962</v>
      </c>
      <c r="H9" s="17">
        <f t="shared" si="2"/>
        <v>109561</v>
      </c>
    </row>
    <row r="10" spans="3:11" x14ac:dyDescent="0.3">
      <c r="C10" s="17">
        <v>7</v>
      </c>
      <c r="D10" s="17">
        <v>95</v>
      </c>
      <c r="E10" s="17">
        <v>199</v>
      </c>
      <c r="F10" s="17">
        <f t="shared" ref="F10:F13" si="3">D10^2</f>
        <v>9025</v>
      </c>
      <c r="G10" s="17">
        <f t="shared" ref="G10:G13" si="4">D10*E10</f>
        <v>18905</v>
      </c>
      <c r="H10" s="17">
        <f t="shared" ref="H10:H13" si="5">E10^2</f>
        <v>39601</v>
      </c>
      <c r="K10" s="1"/>
    </row>
    <row r="11" spans="3:11" x14ac:dyDescent="0.3">
      <c r="C11" s="17">
        <v>8</v>
      </c>
      <c r="D11" s="17">
        <v>945</v>
      </c>
      <c r="E11" s="17">
        <v>1890</v>
      </c>
      <c r="F11" s="17">
        <f t="shared" si="3"/>
        <v>893025</v>
      </c>
      <c r="G11" s="17">
        <f t="shared" si="4"/>
        <v>1786050</v>
      </c>
      <c r="H11" s="17">
        <f t="shared" si="5"/>
        <v>3572100</v>
      </c>
    </row>
    <row r="12" spans="3:11" x14ac:dyDescent="0.3">
      <c r="C12" s="17">
        <v>9</v>
      </c>
      <c r="D12" s="17">
        <v>368</v>
      </c>
      <c r="E12" s="17">
        <v>788</v>
      </c>
      <c r="F12" s="17">
        <f t="shared" si="3"/>
        <v>135424</v>
      </c>
      <c r="G12" s="17">
        <f t="shared" si="4"/>
        <v>289984</v>
      </c>
      <c r="H12" s="17">
        <f t="shared" si="5"/>
        <v>620944</v>
      </c>
    </row>
    <row r="13" spans="3:11" x14ac:dyDescent="0.3">
      <c r="C13" s="17">
        <v>10</v>
      </c>
      <c r="D13" s="17">
        <v>961</v>
      </c>
      <c r="E13" s="17">
        <v>1601</v>
      </c>
      <c r="F13" s="17">
        <f t="shared" si="3"/>
        <v>923521</v>
      </c>
      <c r="G13" s="17">
        <f t="shared" si="4"/>
        <v>1538561</v>
      </c>
      <c r="H13" s="17">
        <f t="shared" si="5"/>
        <v>2563201</v>
      </c>
    </row>
    <row r="14" spans="3:11" x14ac:dyDescent="0.3">
      <c r="C14" s="17" t="s">
        <v>6</v>
      </c>
      <c r="D14" s="17">
        <f>SUM(D4:D13)</f>
        <v>3828</v>
      </c>
      <c r="E14" s="17">
        <f>SUM(E4:E13)</f>
        <v>6389</v>
      </c>
      <c r="F14" s="17">
        <f>SUM(F4:F13)</f>
        <v>2540284</v>
      </c>
      <c r="G14" s="17">
        <f>SUM(G4:G13)</f>
        <v>4303108</v>
      </c>
      <c r="H14" s="17">
        <f>SUM(H4:H13)</f>
        <v>7604693</v>
      </c>
    </row>
    <row r="15" spans="3:11" x14ac:dyDescent="0.3">
      <c r="C15" s="18"/>
      <c r="D15" s="17" t="s">
        <v>7</v>
      </c>
      <c r="E15" s="17" t="s">
        <v>8</v>
      </c>
      <c r="F15" s="18"/>
      <c r="G15" s="18"/>
      <c r="H15" s="18"/>
    </row>
    <row r="16" spans="3:11" x14ac:dyDescent="0.3">
      <c r="C16" s="18"/>
      <c r="D16" s="17">
        <f>AVERAGE(Table2[x])</f>
        <v>382.8</v>
      </c>
      <c r="E16" s="17">
        <f>AVERAGE(Table2[y])</f>
        <v>638.9</v>
      </c>
      <c r="F16" s="18"/>
      <c r="G16" s="18"/>
      <c r="H16" s="18"/>
    </row>
    <row r="18" spans="2:11" x14ac:dyDescent="0.3">
      <c r="B18" s="2"/>
      <c r="C18" s="3" t="s">
        <v>9</v>
      </c>
      <c r="D18" s="3" t="s">
        <v>10</v>
      </c>
      <c r="E18" s="3" t="s">
        <v>11</v>
      </c>
      <c r="F18" s="4" t="s">
        <v>12</v>
      </c>
    </row>
    <row r="19" spans="2:11" x14ac:dyDescent="0.3">
      <c r="B19" s="19"/>
      <c r="C19" s="20"/>
      <c r="D19" s="17">
        <v>382.8</v>
      </c>
      <c r="E19" s="17">
        <v>638.9</v>
      </c>
      <c r="F19" s="21">
        <f>C19-(10*D19*E19)</f>
        <v>-2445709.1999999997</v>
      </c>
    </row>
    <row r="20" spans="2:11" x14ac:dyDescent="0.3">
      <c r="B20" s="19"/>
      <c r="C20" s="17" t="s">
        <v>13</v>
      </c>
      <c r="D20" s="17" t="s">
        <v>14</v>
      </c>
      <c r="E20" s="17"/>
      <c r="F20" s="21" t="s">
        <v>15</v>
      </c>
    </row>
    <row r="21" spans="2:11" x14ac:dyDescent="0.3">
      <c r="B21" s="19"/>
      <c r="C21" s="17">
        <v>2540284</v>
      </c>
      <c r="D21" s="17">
        <f>D19*D19</f>
        <v>146535.84</v>
      </c>
      <c r="E21" s="17"/>
      <c r="F21" s="21">
        <f>C21-(10*D21)</f>
        <v>1074925.6000000001</v>
      </c>
      <c r="J21" s="1"/>
    </row>
    <row r="22" spans="2:11" x14ac:dyDescent="0.3">
      <c r="B22" s="22" t="s">
        <v>16</v>
      </c>
      <c r="C22" s="9">
        <f>F19/F21</f>
        <v>-2.275235793063259</v>
      </c>
      <c r="D22" s="9"/>
      <c r="E22" s="9"/>
      <c r="F22" s="10"/>
    </row>
    <row r="24" spans="2:11" x14ac:dyDescent="0.3">
      <c r="B24" s="2"/>
      <c r="C24" s="3" t="s">
        <v>17</v>
      </c>
      <c r="D24" s="3" t="s">
        <v>18</v>
      </c>
      <c r="E24" s="4" t="s">
        <v>19</v>
      </c>
    </row>
    <row r="25" spans="2:11" x14ac:dyDescent="0.3">
      <c r="B25" s="5"/>
      <c r="C25" s="6" t="s">
        <v>20</v>
      </c>
      <c r="D25" s="6">
        <v>1.727932426</v>
      </c>
      <c r="E25" s="7">
        <v>382.8</v>
      </c>
      <c r="F25" s="1"/>
    </row>
    <row r="26" spans="2:11" x14ac:dyDescent="0.3">
      <c r="B26" s="8" t="s">
        <v>21</v>
      </c>
      <c r="C26" s="9">
        <f>C25-D25*E25</f>
        <v>-22.552532672799998</v>
      </c>
      <c r="D26" s="9"/>
      <c r="E26" s="10"/>
    </row>
    <row r="27" spans="2:11" x14ac:dyDescent="0.3">
      <c r="G27" s="23" t="s">
        <v>22</v>
      </c>
      <c r="H27" s="23" t="s">
        <v>23</v>
      </c>
      <c r="I27" s="23" t="s">
        <v>24</v>
      </c>
      <c r="J27" s="6"/>
      <c r="K27" s="6" t="s">
        <v>25</v>
      </c>
    </row>
    <row r="28" spans="2:11" x14ac:dyDescent="0.3">
      <c r="G28" s="17">
        <v>4303108</v>
      </c>
      <c r="H28" s="17">
        <v>3828</v>
      </c>
      <c r="I28" s="17">
        <v>6389</v>
      </c>
      <c r="J28" s="17"/>
      <c r="K28" s="17">
        <f>10*(G28)-(H28)*(I28)</f>
        <v>18573988</v>
      </c>
    </row>
    <row r="29" spans="2:11" x14ac:dyDescent="0.3">
      <c r="B29" s="11" t="s">
        <v>21</v>
      </c>
      <c r="C29" s="12">
        <v>-22.552532670000002</v>
      </c>
      <c r="G29" s="17" t="s">
        <v>26</v>
      </c>
      <c r="H29" s="17" t="s">
        <v>27</v>
      </c>
      <c r="I29" s="17" t="s">
        <v>28</v>
      </c>
      <c r="J29" s="17" t="s">
        <v>29</v>
      </c>
      <c r="K29" s="17"/>
    </row>
    <row r="30" spans="2:11" x14ac:dyDescent="0.3">
      <c r="B30" s="13" t="s">
        <v>16</v>
      </c>
      <c r="C30" s="14">
        <v>1.727932426</v>
      </c>
      <c r="G30" s="17">
        <v>2540284</v>
      </c>
      <c r="H30" s="17">
        <f>H28*H28</f>
        <v>14653584</v>
      </c>
      <c r="I30" s="17">
        <v>7604693</v>
      </c>
      <c r="J30" s="17">
        <f>I28*I28</f>
        <v>40819321</v>
      </c>
      <c r="K30" s="17"/>
    </row>
    <row r="31" spans="2:11" x14ac:dyDescent="0.3">
      <c r="B31" s="13" t="s">
        <v>30</v>
      </c>
      <c r="C31" s="14">
        <v>386</v>
      </c>
      <c r="G31" s="17" t="s">
        <v>31</v>
      </c>
      <c r="H31" s="17" t="s">
        <v>32</v>
      </c>
      <c r="I31" s="17" t="s">
        <v>33</v>
      </c>
      <c r="J31" s="17" t="s">
        <v>34</v>
      </c>
      <c r="K31" s="17"/>
    </row>
    <row r="32" spans="2:11" x14ac:dyDescent="0.3">
      <c r="B32" s="15" t="s">
        <v>35</v>
      </c>
      <c r="C32" s="16">
        <f>C29+C30*C31</f>
        <v>644.429383766</v>
      </c>
      <c r="G32" s="17">
        <f>10*G30-H30</f>
        <v>10749256</v>
      </c>
      <c r="H32" s="17">
        <f>10*I30-J30</f>
        <v>35227609</v>
      </c>
      <c r="I32" s="17">
        <f>G32*H32</f>
        <v>378670587408904</v>
      </c>
      <c r="J32" s="17">
        <f>SQRT(G32*H32)</f>
        <v>19459460.100652948</v>
      </c>
      <c r="K32" s="17"/>
    </row>
    <row r="33" spans="7:11" x14ac:dyDescent="0.3">
      <c r="G33" s="17" t="s">
        <v>36</v>
      </c>
      <c r="H33" s="17">
        <f>K28/J32</f>
        <v>0.95449657410468258</v>
      </c>
      <c r="I33" s="18"/>
      <c r="J33" s="18"/>
      <c r="K33" s="18"/>
    </row>
    <row r="34" spans="7:11" x14ac:dyDescent="0.3">
      <c r="G34" s="17" t="s">
        <v>37</v>
      </c>
      <c r="H34" s="17">
        <f>H33*H33</f>
        <v>0.9110637099775758</v>
      </c>
      <c r="I34" s="18"/>
      <c r="J34" s="18"/>
      <c r="K34" s="18"/>
    </row>
    <row r="35" spans="7:11" x14ac:dyDescent="0.3">
      <c r="I35" s="1"/>
    </row>
  </sheetData>
  <pageMargins left="0.7" right="0.7" top="0.75" bottom="0.75" header="0.3" footer="0.3"/>
  <pageSetup orientation="portrait" verticalDpi="0"/>
  <drawing r:id="rId1"/>
  <tableParts count="9"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K35"/>
  <sheetViews>
    <sheetView topLeftCell="A24" workbookViewId="0">
      <selection activeCell="H37" sqref="H37"/>
    </sheetView>
  </sheetViews>
  <sheetFormatPr defaultRowHeight="14.4" x14ac:dyDescent="0.3"/>
  <cols>
    <col min="2" max="2" width="10.33203125" bestFit="1"/>
    <col min="3" max="3" width="13.44140625" customWidth="1"/>
    <col min="4" max="4" width="13" customWidth="1"/>
    <col min="5" max="5" width="11.33203125" customWidth="1"/>
    <col min="6" max="6" width="25" customWidth="1"/>
    <col min="7" max="7" width="23.5546875" customWidth="1"/>
    <col min="8" max="8" width="23.6640625" bestFit="1" customWidth="1"/>
    <col min="9" max="9" width="21.88671875" bestFit="1"/>
    <col min="10" max="10" width="12.6640625" bestFit="1"/>
    <col min="11" max="11" width="28.44140625" bestFit="1"/>
    <col min="12" max="12" width="10.44140625" bestFit="1"/>
  </cols>
  <sheetData>
    <row r="3" spans="3:11" x14ac:dyDescent="0.3">
      <c r="C3" s="17" t="s">
        <v>0</v>
      </c>
      <c r="D3" s="17" t="s">
        <v>1</v>
      </c>
      <c r="E3" s="17" t="s">
        <v>2</v>
      </c>
      <c r="F3" s="17" t="s">
        <v>3</v>
      </c>
      <c r="G3" s="17" t="s">
        <v>4</v>
      </c>
      <c r="H3" s="17" t="s">
        <v>5</v>
      </c>
    </row>
    <row r="4" spans="3:11" x14ac:dyDescent="0.3">
      <c r="C4" s="17">
        <v>1</v>
      </c>
      <c r="D4" s="17">
        <v>130</v>
      </c>
      <c r="E4" s="17">
        <v>15</v>
      </c>
      <c r="F4" s="17">
        <f t="shared" ref="F4:F9" si="0">D4^2</f>
        <v>16900</v>
      </c>
      <c r="G4" s="17">
        <f t="shared" ref="G4:G9" si="1">D4*E4</f>
        <v>1950</v>
      </c>
      <c r="H4" s="17">
        <f t="shared" ref="H4:H9" si="2">E4^2</f>
        <v>225</v>
      </c>
    </row>
    <row r="5" spans="3:11" x14ac:dyDescent="0.3">
      <c r="C5" s="17">
        <v>2</v>
      </c>
      <c r="D5" s="17">
        <v>650</v>
      </c>
      <c r="E5" s="17">
        <v>69.900000000000006</v>
      </c>
      <c r="F5" s="17">
        <f t="shared" si="0"/>
        <v>422500</v>
      </c>
      <c r="G5" s="17">
        <f t="shared" si="1"/>
        <v>45435.000000000007</v>
      </c>
      <c r="H5" s="17">
        <f t="shared" si="2"/>
        <v>4886.0100000000011</v>
      </c>
    </row>
    <row r="6" spans="3:11" x14ac:dyDescent="0.3">
      <c r="C6" s="17">
        <v>3</v>
      </c>
      <c r="D6" s="17">
        <v>99</v>
      </c>
      <c r="E6" s="17">
        <v>6.5</v>
      </c>
      <c r="F6" s="17">
        <f t="shared" si="0"/>
        <v>9801</v>
      </c>
      <c r="G6" s="17">
        <f t="shared" si="1"/>
        <v>643.5</v>
      </c>
      <c r="H6" s="17">
        <f t="shared" si="2"/>
        <v>42.25</v>
      </c>
    </row>
    <row r="7" spans="3:11" x14ac:dyDescent="0.3">
      <c r="C7" s="17">
        <v>4</v>
      </c>
      <c r="D7" s="17">
        <v>150</v>
      </c>
      <c r="E7" s="17">
        <v>22.4</v>
      </c>
      <c r="F7" s="17">
        <f t="shared" si="0"/>
        <v>22500</v>
      </c>
      <c r="G7" s="17">
        <f t="shared" si="1"/>
        <v>3360</v>
      </c>
      <c r="H7" s="17">
        <f t="shared" si="2"/>
        <v>501.75999999999993</v>
      </c>
    </row>
    <row r="8" spans="3:11" x14ac:dyDescent="0.3">
      <c r="C8" s="17">
        <v>5</v>
      </c>
      <c r="D8" s="17">
        <v>128</v>
      </c>
      <c r="E8" s="17">
        <v>28.4</v>
      </c>
      <c r="F8" s="17">
        <f t="shared" si="0"/>
        <v>16384</v>
      </c>
      <c r="G8" s="17">
        <f t="shared" si="1"/>
        <v>3635.2</v>
      </c>
      <c r="H8" s="17">
        <f t="shared" si="2"/>
        <v>806.56</v>
      </c>
    </row>
    <row r="9" spans="3:11" x14ac:dyDescent="0.3">
      <c r="C9" s="17">
        <v>6</v>
      </c>
      <c r="D9" s="17">
        <v>302</v>
      </c>
      <c r="E9" s="17">
        <v>65.900000000000006</v>
      </c>
      <c r="F9" s="17">
        <f t="shared" si="0"/>
        <v>91204</v>
      </c>
      <c r="G9" s="17">
        <f t="shared" si="1"/>
        <v>19901.800000000003</v>
      </c>
      <c r="H9" s="17">
        <f t="shared" si="2"/>
        <v>4342.8100000000004</v>
      </c>
    </row>
    <row r="10" spans="3:11" x14ac:dyDescent="0.3">
      <c r="C10" s="17">
        <v>7</v>
      </c>
      <c r="D10" s="17">
        <v>95</v>
      </c>
      <c r="E10" s="17">
        <v>19.399999999999999</v>
      </c>
      <c r="F10" s="17">
        <f t="shared" ref="F10:F13" si="3">D10^2</f>
        <v>9025</v>
      </c>
      <c r="G10" s="17">
        <f t="shared" ref="G10:G13" si="4">D10*E10</f>
        <v>1842.9999999999998</v>
      </c>
      <c r="H10" s="17">
        <f t="shared" ref="H10:H13" si="5">E10^2</f>
        <v>376.35999999999996</v>
      </c>
      <c r="K10" s="1"/>
    </row>
    <row r="11" spans="3:11" x14ac:dyDescent="0.3">
      <c r="C11" s="17">
        <v>8</v>
      </c>
      <c r="D11" s="17">
        <v>945</v>
      </c>
      <c r="E11" s="17">
        <v>198.7</v>
      </c>
      <c r="F11" s="17">
        <f t="shared" si="3"/>
        <v>893025</v>
      </c>
      <c r="G11" s="17">
        <f t="shared" si="4"/>
        <v>187771.5</v>
      </c>
      <c r="H11" s="17">
        <f t="shared" si="5"/>
        <v>39481.689999999995</v>
      </c>
    </row>
    <row r="12" spans="3:11" x14ac:dyDescent="0.3">
      <c r="C12" s="17">
        <v>9</v>
      </c>
      <c r="D12" s="17">
        <v>368</v>
      </c>
      <c r="E12" s="17">
        <v>38.799999999999997</v>
      </c>
      <c r="F12" s="17">
        <f t="shared" si="3"/>
        <v>135424</v>
      </c>
      <c r="G12" s="17">
        <f t="shared" si="4"/>
        <v>14278.4</v>
      </c>
      <c r="H12" s="17">
        <f t="shared" si="5"/>
        <v>1505.4399999999998</v>
      </c>
    </row>
    <row r="13" spans="3:11" x14ac:dyDescent="0.3">
      <c r="C13" s="17">
        <v>10</v>
      </c>
      <c r="D13" s="17">
        <v>961</v>
      </c>
      <c r="E13" s="17">
        <v>138.19999999999999</v>
      </c>
      <c r="F13" s="17">
        <f t="shared" si="3"/>
        <v>923521</v>
      </c>
      <c r="G13" s="17">
        <f t="shared" si="4"/>
        <v>132810.19999999998</v>
      </c>
      <c r="H13" s="17">
        <f t="shared" si="5"/>
        <v>19099.239999999998</v>
      </c>
    </row>
    <row r="14" spans="3:11" x14ac:dyDescent="0.3">
      <c r="C14" s="17" t="s">
        <v>6</v>
      </c>
      <c r="D14" s="17">
        <f>SUM(D4:D13)</f>
        <v>3828</v>
      </c>
      <c r="E14" s="17">
        <f>SUM(E4:E13)</f>
        <v>603.20000000000005</v>
      </c>
      <c r="F14" s="17">
        <f>SUM(Table1[x^2])</f>
        <v>2540284</v>
      </c>
      <c r="G14" s="17">
        <f>SUM(G4:G13)</f>
        <v>411628.6</v>
      </c>
      <c r="H14" s="17">
        <f>SUM(H4:H13)</f>
        <v>71267.12</v>
      </c>
    </row>
    <row r="15" spans="3:11" x14ac:dyDescent="0.3">
      <c r="C15" s="18"/>
      <c r="D15" s="17" t="s">
        <v>7</v>
      </c>
      <c r="E15" s="17" t="s">
        <v>8</v>
      </c>
      <c r="F15" s="18"/>
      <c r="G15" s="18"/>
      <c r="H15" s="18"/>
    </row>
    <row r="16" spans="3:11" x14ac:dyDescent="0.3">
      <c r="C16" s="18"/>
      <c r="D16" s="17">
        <f>AVERAGE(Table1[x])</f>
        <v>382.8</v>
      </c>
      <c r="E16" s="17">
        <f>AVERAGE(Table1[y])</f>
        <v>60.320000000000007</v>
      </c>
      <c r="F16" s="18"/>
      <c r="G16" s="18"/>
      <c r="H16" s="18"/>
    </row>
    <row r="18" spans="2:11" x14ac:dyDescent="0.3">
      <c r="B18" s="2"/>
      <c r="C18" s="3" t="s">
        <v>9</v>
      </c>
      <c r="D18" s="3" t="s">
        <v>10</v>
      </c>
      <c r="E18" s="3" t="s">
        <v>11</v>
      </c>
      <c r="F18" s="4" t="s">
        <v>12</v>
      </c>
    </row>
    <row r="19" spans="2:11" x14ac:dyDescent="0.3">
      <c r="B19" s="19"/>
      <c r="C19" s="20">
        <f>Table4[[#All],[Column5]]</f>
        <v>411628.6</v>
      </c>
      <c r="D19" s="17">
        <f>Table6[Xavg]</f>
        <v>382.8</v>
      </c>
      <c r="E19" s="17">
        <f>Table6[Yavg]</f>
        <v>60.320000000000007</v>
      </c>
      <c r="F19" s="21">
        <f>C19-(10*D19*E19)</f>
        <v>180723.63999999996</v>
      </c>
    </row>
    <row r="20" spans="2:11" x14ac:dyDescent="0.3">
      <c r="B20" s="19"/>
      <c r="C20" s="17" t="s">
        <v>13</v>
      </c>
      <c r="D20" s="17" t="s">
        <v>14</v>
      </c>
      <c r="E20" s="17"/>
      <c r="F20" s="21" t="s">
        <v>15</v>
      </c>
    </row>
    <row r="21" spans="2:11" x14ac:dyDescent="0.3">
      <c r="B21" s="19"/>
      <c r="C21" s="17">
        <f>Table4[[#All],[Column4]]</f>
        <v>2540284</v>
      </c>
      <c r="D21" s="17">
        <f>D19*D19</f>
        <v>146535.84</v>
      </c>
      <c r="E21" s="17"/>
      <c r="F21" s="21">
        <f>C21-(10*D21)</f>
        <v>1074925.6000000001</v>
      </c>
      <c r="J21" s="1"/>
    </row>
    <row r="22" spans="2:11" x14ac:dyDescent="0.3">
      <c r="B22" s="22" t="s">
        <v>16</v>
      </c>
      <c r="C22" s="9">
        <f>F19/F21</f>
        <v>0.16812664988162895</v>
      </c>
      <c r="D22" s="9"/>
      <c r="E22" s="9"/>
      <c r="F22" s="10"/>
    </row>
    <row r="24" spans="2:11" x14ac:dyDescent="0.3">
      <c r="B24" s="2"/>
      <c r="C24" s="3" t="s">
        <v>8</v>
      </c>
      <c r="D24" s="3" t="s">
        <v>18</v>
      </c>
      <c r="E24" s="4" t="s">
        <v>7</v>
      </c>
    </row>
    <row r="25" spans="2:11" x14ac:dyDescent="0.3">
      <c r="B25" s="5"/>
      <c r="C25" s="6">
        <f>Table6[Yavg]</f>
        <v>60.320000000000007</v>
      </c>
      <c r="D25" s="6">
        <f>C22</f>
        <v>0.16812664988162895</v>
      </c>
      <c r="E25" s="7">
        <f>Table6[Xavg]</f>
        <v>382.8</v>
      </c>
      <c r="F25" s="1"/>
    </row>
    <row r="26" spans="2:11" x14ac:dyDescent="0.3">
      <c r="B26" s="8" t="s">
        <v>21</v>
      </c>
      <c r="C26" s="9">
        <f>C25-D25*E25</f>
        <v>-4.0388815746875508</v>
      </c>
      <c r="D26" s="9"/>
      <c r="E26" s="10"/>
    </row>
    <row r="27" spans="2:11" x14ac:dyDescent="0.3">
      <c r="G27" s="23" t="s">
        <v>22</v>
      </c>
      <c r="H27" s="23" t="s">
        <v>23</v>
      </c>
      <c r="I27" s="23" t="s">
        <v>24</v>
      </c>
      <c r="J27" s="6"/>
      <c r="K27" s="6" t="s">
        <v>25</v>
      </c>
    </row>
    <row r="28" spans="2:11" x14ac:dyDescent="0.3">
      <c r="G28" s="17">
        <f>Table4[[#All],[Column5]]</f>
        <v>411628.6</v>
      </c>
      <c r="H28" s="17">
        <f>Table4[[#All],[Column2]]</f>
        <v>3828</v>
      </c>
      <c r="I28" s="17">
        <f>Table4[[#All],[Column3]]</f>
        <v>603.20000000000005</v>
      </c>
      <c r="J28" s="17"/>
      <c r="K28" s="17">
        <f>10*(G28)-(H28)*(I28)</f>
        <v>1807236.4</v>
      </c>
    </row>
    <row r="29" spans="2:11" x14ac:dyDescent="0.3">
      <c r="B29" s="11" t="s">
        <v>21</v>
      </c>
      <c r="C29" s="12">
        <f>C26</f>
        <v>-4.0388815746875508</v>
      </c>
      <c r="G29" s="17" t="s">
        <v>26</v>
      </c>
      <c r="H29" s="17" t="s">
        <v>27</v>
      </c>
      <c r="I29" s="17" t="s">
        <v>28</v>
      </c>
      <c r="J29" s="17" t="s">
        <v>29</v>
      </c>
      <c r="K29" s="17"/>
    </row>
    <row r="30" spans="2:11" x14ac:dyDescent="0.3">
      <c r="B30" s="13" t="s">
        <v>16</v>
      </c>
      <c r="C30" s="14">
        <f>C22</f>
        <v>0.16812664988162895</v>
      </c>
      <c r="G30" s="17">
        <f>Table4[[#All],[Column4]]</f>
        <v>2540284</v>
      </c>
      <c r="H30" s="17">
        <f>H28*H28</f>
        <v>14653584</v>
      </c>
      <c r="I30" s="17">
        <f>Table4[[#All],[Column6]]</f>
        <v>71267.12</v>
      </c>
      <c r="J30" s="17">
        <f>I28*I28</f>
        <v>363850.24000000005</v>
      </c>
      <c r="K30" s="17"/>
    </row>
    <row r="31" spans="2:11" x14ac:dyDescent="0.3">
      <c r="B31" s="13" t="s">
        <v>30</v>
      </c>
      <c r="C31" s="14">
        <v>386</v>
      </c>
      <c r="G31" s="17" t="s">
        <v>31</v>
      </c>
      <c r="H31" s="17" t="s">
        <v>32</v>
      </c>
      <c r="I31" s="17" t="s">
        <v>33</v>
      </c>
      <c r="J31" s="17" t="s">
        <v>38</v>
      </c>
      <c r="K31" s="17"/>
    </row>
    <row r="32" spans="2:11" x14ac:dyDescent="0.3">
      <c r="B32" s="15" t="s">
        <v>35</v>
      </c>
      <c r="C32" s="16">
        <f>C29+C30*C31</f>
        <v>60.858005279621224</v>
      </c>
      <c r="G32" s="17">
        <f>10*G30-H30</f>
        <v>10749256</v>
      </c>
      <c r="H32" s="17">
        <f>10*I30-J30</f>
        <v>348820.9599999999</v>
      </c>
      <c r="I32" s="17">
        <f>G32*H32</f>
        <v>3749565797205.7588</v>
      </c>
      <c r="J32" s="17">
        <f>SQRT(G32*H32)</f>
        <v>1936379.5591788711</v>
      </c>
      <c r="K32" s="17"/>
    </row>
    <row r="33" spans="7:11" x14ac:dyDescent="0.3">
      <c r="G33" s="17" t="s">
        <v>36</v>
      </c>
      <c r="H33" s="17">
        <f>K28/J32</f>
        <v>0.93330689814055112</v>
      </c>
      <c r="I33" s="18"/>
      <c r="J33" s="18"/>
      <c r="K33" s="18"/>
    </row>
    <row r="34" spans="7:11" x14ac:dyDescent="0.3">
      <c r="G34" s="17" t="s">
        <v>37</v>
      </c>
      <c r="H34" s="17">
        <f>H33*H33</f>
        <v>0.87106176611673702</v>
      </c>
      <c r="I34" s="18"/>
      <c r="J34" s="18"/>
      <c r="K34" s="18"/>
    </row>
    <row r="35" spans="7:11" x14ac:dyDescent="0.3">
      <c r="I35" s="1"/>
    </row>
  </sheetData>
  <pageMargins left="0.7" right="0.7" top="0.75" bottom="0.75" header="0.3" footer="0.3"/>
  <pageSetup orientation="portrait" verticalDpi="0"/>
  <drawing r:id="rId1"/>
  <tableParts count="9"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K35"/>
  <sheetViews>
    <sheetView topLeftCell="A24" workbookViewId="0">
      <selection activeCell="H36" sqref="H36"/>
    </sheetView>
  </sheetViews>
  <sheetFormatPr defaultRowHeight="14.4" x14ac:dyDescent="0.3"/>
  <cols>
    <col min="2" max="2" width="10.33203125" bestFit="1"/>
    <col min="3" max="3" width="13.44140625" customWidth="1"/>
    <col min="4" max="4" width="13" customWidth="1"/>
    <col min="5" max="5" width="11.33203125" customWidth="1"/>
    <col min="6" max="6" width="25" customWidth="1"/>
    <col min="7" max="7" width="23.5546875" customWidth="1"/>
    <col min="8" max="8" width="23.6640625" bestFit="1" customWidth="1"/>
    <col min="9" max="9" width="21.88671875" bestFit="1"/>
    <col min="10" max="10" width="12.6640625" bestFit="1"/>
    <col min="11" max="11" width="28.44140625" bestFit="1"/>
    <col min="12" max="12" width="10.44140625" bestFit="1"/>
  </cols>
  <sheetData>
    <row r="3" spans="3:11" x14ac:dyDescent="0.3">
      <c r="C3" s="17" t="s">
        <v>0</v>
      </c>
      <c r="D3" s="17" t="s">
        <v>1</v>
      </c>
      <c r="E3" s="17" t="s">
        <v>2</v>
      </c>
      <c r="F3" s="17" t="s">
        <v>3</v>
      </c>
      <c r="G3" s="17" t="s">
        <v>4</v>
      </c>
      <c r="H3" s="17" t="s">
        <v>5</v>
      </c>
    </row>
    <row r="4" spans="3:11" x14ac:dyDescent="0.3">
      <c r="C4" s="17">
        <v>1</v>
      </c>
      <c r="D4" s="17">
        <v>163</v>
      </c>
      <c r="E4" s="17">
        <v>186</v>
      </c>
      <c r="F4" s="17">
        <f t="shared" ref="F4:F9" si="0">D4^2</f>
        <v>26569</v>
      </c>
      <c r="G4" s="17">
        <f t="shared" ref="G4:G9" si="1">D4*E4</f>
        <v>30318</v>
      </c>
      <c r="H4" s="17">
        <f t="shared" ref="H4:H9" si="2">E4^2</f>
        <v>34596</v>
      </c>
    </row>
    <row r="5" spans="3:11" x14ac:dyDescent="0.3">
      <c r="C5" s="17">
        <v>2</v>
      </c>
      <c r="D5" s="17">
        <v>765</v>
      </c>
      <c r="E5" s="17">
        <v>699</v>
      </c>
      <c r="F5" s="17">
        <f t="shared" si="0"/>
        <v>585225</v>
      </c>
      <c r="G5" s="17">
        <f t="shared" si="1"/>
        <v>534735</v>
      </c>
      <c r="H5" s="17">
        <f t="shared" si="2"/>
        <v>488601</v>
      </c>
    </row>
    <row r="6" spans="3:11" x14ac:dyDescent="0.3">
      <c r="C6" s="17">
        <v>3</v>
      </c>
      <c r="D6" s="17">
        <v>141</v>
      </c>
      <c r="E6" s="17">
        <v>132</v>
      </c>
      <c r="F6" s="17">
        <f t="shared" si="0"/>
        <v>19881</v>
      </c>
      <c r="G6" s="17">
        <f t="shared" si="1"/>
        <v>18612</v>
      </c>
      <c r="H6" s="17">
        <f t="shared" si="2"/>
        <v>17424</v>
      </c>
    </row>
    <row r="7" spans="3:11" x14ac:dyDescent="0.3">
      <c r="C7" s="17">
        <v>4</v>
      </c>
      <c r="D7" s="17">
        <v>166</v>
      </c>
      <c r="E7" s="17">
        <v>272</v>
      </c>
      <c r="F7" s="17">
        <f t="shared" si="0"/>
        <v>27556</v>
      </c>
      <c r="G7" s="17">
        <f t="shared" si="1"/>
        <v>45152</v>
      </c>
      <c r="H7" s="17">
        <f t="shared" si="2"/>
        <v>73984</v>
      </c>
    </row>
    <row r="8" spans="3:11" x14ac:dyDescent="0.3">
      <c r="C8" s="17">
        <v>5</v>
      </c>
      <c r="D8" s="17">
        <v>137</v>
      </c>
      <c r="E8" s="17">
        <v>291</v>
      </c>
      <c r="F8" s="17">
        <f t="shared" si="0"/>
        <v>18769</v>
      </c>
      <c r="G8" s="17">
        <f t="shared" si="1"/>
        <v>39867</v>
      </c>
      <c r="H8" s="17">
        <f t="shared" si="2"/>
        <v>84681</v>
      </c>
    </row>
    <row r="9" spans="3:11" x14ac:dyDescent="0.3">
      <c r="C9" s="17">
        <v>6</v>
      </c>
      <c r="D9" s="17">
        <v>355</v>
      </c>
      <c r="E9" s="17">
        <v>331</v>
      </c>
      <c r="F9" s="17">
        <f t="shared" si="0"/>
        <v>126025</v>
      </c>
      <c r="G9" s="17">
        <f t="shared" si="1"/>
        <v>117505</v>
      </c>
      <c r="H9" s="17">
        <f t="shared" si="2"/>
        <v>109561</v>
      </c>
    </row>
    <row r="10" spans="3:11" x14ac:dyDescent="0.3">
      <c r="C10" s="17">
        <v>7</v>
      </c>
      <c r="D10" s="17">
        <v>136</v>
      </c>
      <c r="E10" s="17">
        <v>199</v>
      </c>
      <c r="F10" s="17">
        <f t="shared" ref="F10:F13" si="3">D10^2</f>
        <v>18496</v>
      </c>
      <c r="G10" s="17">
        <f t="shared" ref="G10:G13" si="4">D10*E10</f>
        <v>27064</v>
      </c>
      <c r="H10" s="17">
        <f t="shared" ref="H10:H13" si="5">E10^2</f>
        <v>39601</v>
      </c>
      <c r="K10" s="1"/>
    </row>
    <row r="11" spans="3:11" x14ac:dyDescent="0.3">
      <c r="C11" s="17">
        <v>8</v>
      </c>
      <c r="D11" s="17">
        <v>1206</v>
      </c>
      <c r="E11" s="17">
        <v>1890</v>
      </c>
      <c r="F11" s="17">
        <f t="shared" si="3"/>
        <v>1454436</v>
      </c>
      <c r="G11" s="17">
        <f t="shared" si="4"/>
        <v>2279340</v>
      </c>
      <c r="H11" s="17">
        <f t="shared" si="5"/>
        <v>3572100</v>
      </c>
    </row>
    <row r="12" spans="3:11" x14ac:dyDescent="0.3">
      <c r="C12" s="17">
        <v>9</v>
      </c>
      <c r="D12" s="17">
        <v>433</v>
      </c>
      <c r="E12" s="17">
        <v>788</v>
      </c>
      <c r="F12" s="17">
        <f t="shared" si="3"/>
        <v>187489</v>
      </c>
      <c r="G12" s="17">
        <f t="shared" si="4"/>
        <v>341204</v>
      </c>
      <c r="H12" s="17">
        <f t="shared" si="5"/>
        <v>620944</v>
      </c>
    </row>
    <row r="13" spans="3:11" x14ac:dyDescent="0.3">
      <c r="C13" s="17">
        <v>10</v>
      </c>
      <c r="D13" s="17">
        <v>1130</v>
      </c>
      <c r="E13" s="17">
        <v>1601</v>
      </c>
      <c r="F13" s="17">
        <f t="shared" si="3"/>
        <v>1276900</v>
      </c>
      <c r="G13" s="17">
        <f t="shared" si="4"/>
        <v>1809130</v>
      </c>
      <c r="H13" s="17">
        <f t="shared" si="5"/>
        <v>2563201</v>
      </c>
    </row>
    <row r="14" spans="3:11" x14ac:dyDescent="0.3">
      <c r="C14" s="17" t="s">
        <v>6</v>
      </c>
      <c r="D14" s="17">
        <f>SUM(D4:D13)</f>
        <v>4632</v>
      </c>
      <c r="E14" s="17">
        <f>SUM(E4:E13)</f>
        <v>6389</v>
      </c>
      <c r="F14" s="17">
        <f>SUM(Table15[x^2])</f>
        <v>3741346</v>
      </c>
      <c r="G14" s="17">
        <f>SUM(G4:G13)</f>
        <v>5242927</v>
      </c>
      <c r="H14" s="17">
        <f>SUM(H4:H13)</f>
        <v>7604693</v>
      </c>
    </row>
    <row r="15" spans="3:11" x14ac:dyDescent="0.3">
      <c r="C15" s="18"/>
      <c r="D15" s="17" t="s">
        <v>7</v>
      </c>
      <c r="E15" s="17" t="s">
        <v>8</v>
      </c>
      <c r="F15" s="18"/>
      <c r="G15" s="18"/>
      <c r="H15" s="18"/>
    </row>
    <row r="16" spans="3:11" x14ac:dyDescent="0.3">
      <c r="C16" s="18"/>
      <c r="D16" s="17">
        <f>AVERAGE(Table15[x])</f>
        <v>463.2</v>
      </c>
      <c r="E16" s="17">
        <f>AVERAGE(Table15[y])</f>
        <v>638.9</v>
      </c>
      <c r="F16" s="18"/>
      <c r="G16" s="18"/>
      <c r="H16" s="18"/>
    </row>
    <row r="18" spans="2:11" x14ac:dyDescent="0.3">
      <c r="B18" s="2"/>
      <c r="C18" s="3" t="s">
        <v>9</v>
      </c>
      <c r="D18" s="3" t="s">
        <v>10</v>
      </c>
      <c r="E18" s="3" t="s">
        <v>11</v>
      </c>
      <c r="F18" s="4" t="s">
        <v>12</v>
      </c>
    </row>
    <row r="19" spans="2:11" x14ac:dyDescent="0.3">
      <c r="B19" s="19"/>
      <c r="C19" s="20">
        <f>Table17[[#All],[Column5]]</f>
        <v>5242927</v>
      </c>
      <c r="D19" s="17">
        <f>Table18[Xavg]</f>
        <v>463.2</v>
      </c>
      <c r="E19" s="17">
        <f>Table18[Yavg]</f>
        <v>638.9</v>
      </c>
      <c r="F19" s="21">
        <f>C19-(10*D19*E19)</f>
        <v>2283542.2000000002</v>
      </c>
    </row>
    <row r="20" spans="2:11" x14ac:dyDescent="0.3">
      <c r="B20" s="19"/>
      <c r="C20" s="17" t="s">
        <v>13</v>
      </c>
      <c r="D20" s="17" t="s">
        <v>14</v>
      </c>
      <c r="E20" s="17"/>
      <c r="F20" s="21" t="s">
        <v>15</v>
      </c>
    </row>
    <row r="21" spans="2:11" x14ac:dyDescent="0.3">
      <c r="B21" s="19"/>
      <c r="C21" s="17">
        <f>Table17[[#All],[Column4]]</f>
        <v>3741346</v>
      </c>
      <c r="D21" s="17">
        <f>D19*D19</f>
        <v>214554.23999999999</v>
      </c>
      <c r="E21" s="17"/>
      <c r="F21" s="21">
        <f>C21-(10*D21)</f>
        <v>1595803.6</v>
      </c>
      <c r="J21" s="1"/>
    </row>
    <row r="22" spans="2:11" x14ac:dyDescent="0.3">
      <c r="B22" s="22" t="s">
        <v>16</v>
      </c>
      <c r="C22" s="9">
        <f>F19/F21</f>
        <v>1.4309669435511989</v>
      </c>
      <c r="D22" s="9"/>
      <c r="E22" s="9"/>
      <c r="F22" s="10"/>
    </row>
    <row r="24" spans="2:11" x14ac:dyDescent="0.3">
      <c r="B24" s="2"/>
      <c r="C24" s="3" t="s">
        <v>8</v>
      </c>
      <c r="D24" s="3" t="s">
        <v>18</v>
      </c>
      <c r="E24" s="4" t="s">
        <v>7</v>
      </c>
    </row>
    <row r="25" spans="2:11" x14ac:dyDescent="0.3">
      <c r="B25" s="5"/>
      <c r="C25" s="6">
        <f>Table18[Yavg]</f>
        <v>638.9</v>
      </c>
      <c r="D25" s="6">
        <f>C22</f>
        <v>1.4309669435511989</v>
      </c>
      <c r="E25" s="7">
        <f>Table18[Xavg]</f>
        <v>463.2</v>
      </c>
      <c r="F25" s="1"/>
    </row>
    <row r="26" spans="2:11" x14ac:dyDescent="0.3">
      <c r="B26" s="8" t="s">
        <v>21</v>
      </c>
      <c r="C26" s="9">
        <f>C25-D25*E25</f>
        <v>-23.92388825291539</v>
      </c>
      <c r="D26" s="9"/>
      <c r="E26" s="10"/>
    </row>
    <row r="27" spans="2:11" x14ac:dyDescent="0.3">
      <c r="G27" s="23" t="s">
        <v>22</v>
      </c>
      <c r="H27" s="23" t="s">
        <v>23</v>
      </c>
      <c r="I27" s="23" t="s">
        <v>24</v>
      </c>
      <c r="J27" s="6"/>
      <c r="K27" s="6" t="s">
        <v>25</v>
      </c>
    </row>
    <row r="28" spans="2:11" x14ac:dyDescent="0.3">
      <c r="G28" s="17">
        <f>Table17[[#All],[Column5]]</f>
        <v>5242927</v>
      </c>
      <c r="H28" s="17">
        <f>Table17[[#All],[Column2]]</f>
        <v>4632</v>
      </c>
      <c r="I28" s="17">
        <f>Table17[[#All],[Column3]]</f>
        <v>6389</v>
      </c>
      <c r="J28" s="17"/>
      <c r="K28" s="17">
        <f>10*(G28)-(H28)*(I28)</f>
        <v>22835422</v>
      </c>
    </row>
    <row r="29" spans="2:11" x14ac:dyDescent="0.3">
      <c r="B29" s="11" t="s">
        <v>21</v>
      </c>
      <c r="C29" s="12">
        <f>C26</f>
        <v>-23.92388825291539</v>
      </c>
      <c r="G29" s="17" t="s">
        <v>26</v>
      </c>
      <c r="H29" s="17" t="s">
        <v>27</v>
      </c>
      <c r="I29" s="17" t="s">
        <v>28</v>
      </c>
      <c r="J29" s="17" t="s">
        <v>29</v>
      </c>
      <c r="K29" s="17"/>
    </row>
    <row r="30" spans="2:11" x14ac:dyDescent="0.3">
      <c r="B30" s="13" t="s">
        <v>16</v>
      </c>
      <c r="C30" s="14">
        <f>C22</f>
        <v>1.4309669435511989</v>
      </c>
      <c r="G30" s="17">
        <f>Table17[[#All],[Column4]]</f>
        <v>3741346</v>
      </c>
      <c r="H30" s="17">
        <f>H28*H28</f>
        <v>21455424</v>
      </c>
      <c r="I30" s="17">
        <f>Table17[[#All],[Column6]]</f>
        <v>7604693</v>
      </c>
      <c r="J30" s="17">
        <f>I28*I28</f>
        <v>40819321</v>
      </c>
      <c r="K30" s="17"/>
    </row>
    <row r="31" spans="2:11" x14ac:dyDescent="0.3">
      <c r="B31" s="13" t="s">
        <v>30</v>
      </c>
      <c r="C31" s="14">
        <v>386</v>
      </c>
      <c r="G31" s="17" t="s">
        <v>31</v>
      </c>
      <c r="H31" s="17" t="s">
        <v>32</v>
      </c>
      <c r="I31" s="17" t="s">
        <v>33</v>
      </c>
      <c r="J31" s="17" t="s">
        <v>39</v>
      </c>
      <c r="K31" s="17"/>
    </row>
    <row r="32" spans="2:11" x14ac:dyDescent="0.3">
      <c r="B32" s="15" t="s">
        <v>35</v>
      </c>
      <c r="C32" s="16">
        <f>C29+C30*C31</f>
        <v>528.42935195784742</v>
      </c>
      <c r="G32" s="17">
        <f>10*G30-H30</f>
        <v>15958036</v>
      </c>
      <c r="H32" s="17">
        <f>10*I30-J30</f>
        <v>35227609</v>
      </c>
      <c r="I32" s="17">
        <f>G32*H32</f>
        <v>562163452615924</v>
      </c>
      <c r="J32" s="17">
        <f>SQRT(G32*H32)</f>
        <v>23709986.347864565</v>
      </c>
      <c r="K32" s="17"/>
    </row>
    <row r="33" spans="7:11" x14ac:dyDescent="0.3">
      <c r="G33" s="17" t="s">
        <v>36</v>
      </c>
      <c r="H33" s="17">
        <f>K28/J32</f>
        <v>0.96311409314905272</v>
      </c>
      <c r="I33" s="18"/>
      <c r="J33" s="18"/>
      <c r="K33" s="18"/>
    </row>
    <row r="34" spans="7:11" x14ac:dyDescent="0.3">
      <c r="G34" s="17" t="s">
        <v>37</v>
      </c>
      <c r="H34" s="17">
        <f>H33*H33</f>
        <v>0.92758875642232219</v>
      </c>
      <c r="I34" s="18"/>
      <c r="J34" s="18"/>
      <c r="K34" s="18"/>
    </row>
    <row r="35" spans="7:11" x14ac:dyDescent="0.3">
      <c r="I35" s="1"/>
    </row>
  </sheetData>
  <pageMargins left="0.7" right="0.7" top="0.75" bottom="0.75" header="0.3" footer="0.3"/>
  <pageSetup orientation="portrait" verticalDpi="0"/>
  <drawing r:id="rId1"/>
  <tableParts count="9"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K35"/>
  <sheetViews>
    <sheetView topLeftCell="A20" workbookViewId="0">
      <selection activeCell="C28" sqref="C28"/>
    </sheetView>
  </sheetViews>
  <sheetFormatPr defaultRowHeight="14.4" x14ac:dyDescent="0.3"/>
  <cols>
    <col min="2" max="2" width="10.33203125" bestFit="1"/>
    <col min="3" max="3" width="13.44140625" customWidth="1"/>
    <col min="4" max="4" width="13" customWidth="1"/>
    <col min="5" max="5" width="11.33203125" customWidth="1"/>
    <col min="6" max="6" width="25" customWidth="1"/>
    <col min="7" max="7" width="23.5546875" customWidth="1"/>
    <col min="8" max="8" width="23.6640625" bestFit="1" customWidth="1"/>
    <col min="9" max="9" width="21.88671875" bestFit="1"/>
    <col min="10" max="10" width="12.6640625" bestFit="1"/>
    <col min="11" max="11" width="28.44140625" bestFit="1"/>
    <col min="12" max="12" width="10.44140625" bestFit="1"/>
  </cols>
  <sheetData>
    <row r="3" spans="3:8" x14ac:dyDescent="0.3">
      <c r="C3" s="17" t="s">
        <v>0</v>
      </c>
      <c r="D3" s="17" t="s">
        <v>1</v>
      </c>
      <c r="E3" s="17" t="s">
        <v>2</v>
      </c>
      <c r="F3" s="17" t="s">
        <v>3</v>
      </c>
      <c r="G3" s="17" t="s">
        <v>4</v>
      </c>
      <c r="H3" s="17" t="s">
        <v>5</v>
      </c>
    </row>
    <row r="4" spans="3:8" x14ac:dyDescent="0.3">
      <c r="C4" s="17">
        <v>1</v>
      </c>
      <c r="D4" s="17">
        <v>163</v>
      </c>
      <c r="E4" s="17">
        <v>15</v>
      </c>
      <c r="F4" s="17">
        <f t="shared" ref="F4:F9" si="0">D4^2</f>
        <v>26569</v>
      </c>
      <c r="G4" s="17">
        <f t="shared" ref="G4:G9" si="1">D4*E4</f>
        <v>2445</v>
      </c>
      <c r="H4" s="17">
        <f t="shared" ref="H4:H9" si="2">E4^2</f>
        <v>225</v>
      </c>
    </row>
    <row r="5" spans="3:8" x14ac:dyDescent="0.3">
      <c r="C5" s="17">
        <v>2</v>
      </c>
      <c r="D5" s="17">
        <v>765</v>
      </c>
      <c r="E5" s="17">
        <v>69.900000000000006</v>
      </c>
      <c r="F5" s="17">
        <f t="shared" si="0"/>
        <v>585225</v>
      </c>
      <c r="G5" s="17">
        <f t="shared" si="1"/>
        <v>53473.500000000007</v>
      </c>
      <c r="H5" s="17">
        <f t="shared" si="2"/>
        <v>4886.0100000000011</v>
      </c>
    </row>
    <row r="6" spans="3:8" x14ac:dyDescent="0.3">
      <c r="C6" s="17">
        <v>3</v>
      </c>
      <c r="D6" s="17">
        <v>141</v>
      </c>
      <c r="E6" s="17">
        <v>6.5</v>
      </c>
      <c r="F6" s="17">
        <f t="shared" si="0"/>
        <v>19881</v>
      </c>
      <c r="G6" s="17">
        <f t="shared" si="1"/>
        <v>916.5</v>
      </c>
      <c r="H6" s="17">
        <f t="shared" si="2"/>
        <v>42.25</v>
      </c>
    </row>
    <row r="7" spans="3:8" x14ac:dyDescent="0.3">
      <c r="C7" s="17">
        <v>4</v>
      </c>
      <c r="D7" s="17">
        <v>166</v>
      </c>
      <c r="E7" s="17">
        <v>22.4</v>
      </c>
      <c r="F7" s="17">
        <f t="shared" si="0"/>
        <v>27556</v>
      </c>
      <c r="G7" s="17">
        <f t="shared" si="1"/>
        <v>3718.3999999999996</v>
      </c>
      <c r="H7" s="17">
        <f t="shared" si="2"/>
        <v>501.75999999999993</v>
      </c>
    </row>
    <row r="8" spans="3:8" x14ac:dyDescent="0.3">
      <c r="C8" s="17">
        <v>5</v>
      </c>
      <c r="D8" s="17">
        <v>137</v>
      </c>
      <c r="E8" s="17">
        <v>28.4</v>
      </c>
      <c r="F8" s="17">
        <f t="shared" si="0"/>
        <v>18769</v>
      </c>
      <c r="G8" s="17">
        <f t="shared" si="1"/>
        <v>3890.7999999999997</v>
      </c>
      <c r="H8" s="17">
        <f t="shared" si="2"/>
        <v>806.56</v>
      </c>
    </row>
    <row r="9" spans="3:8" x14ac:dyDescent="0.3">
      <c r="C9" s="17">
        <v>6</v>
      </c>
      <c r="D9" s="17">
        <v>355</v>
      </c>
      <c r="E9" s="17">
        <v>65.900000000000006</v>
      </c>
      <c r="F9" s="17">
        <f t="shared" si="0"/>
        <v>126025</v>
      </c>
      <c r="G9" s="17">
        <f t="shared" si="1"/>
        <v>23394.500000000004</v>
      </c>
      <c r="H9" s="17">
        <f t="shared" si="2"/>
        <v>4342.8100000000004</v>
      </c>
    </row>
    <row r="10" spans="3:8" x14ac:dyDescent="0.3">
      <c r="C10" s="17">
        <v>7</v>
      </c>
      <c r="D10" s="17">
        <v>136</v>
      </c>
      <c r="E10" s="17">
        <v>19.399999999999999</v>
      </c>
      <c r="F10" s="17">
        <f t="shared" ref="F10:F13" si="3">D10^2</f>
        <v>18496</v>
      </c>
      <c r="G10" s="17">
        <f t="shared" ref="G10:G13" si="4">D10*E10</f>
        <v>2638.3999999999996</v>
      </c>
      <c r="H10" s="17">
        <f t="shared" ref="H10:H13" si="5">E10^2</f>
        <v>376.35999999999996</v>
      </c>
    </row>
    <row r="11" spans="3:8" x14ac:dyDescent="0.3">
      <c r="C11" s="17">
        <v>8</v>
      </c>
      <c r="D11" s="17">
        <v>1206</v>
      </c>
      <c r="E11" s="17">
        <v>198.7</v>
      </c>
      <c r="F11" s="17">
        <f t="shared" si="3"/>
        <v>1454436</v>
      </c>
      <c r="G11" s="17">
        <f t="shared" si="4"/>
        <v>239632.19999999998</v>
      </c>
      <c r="H11" s="17">
        <f t="shared" si="5"/>
        <v>39481.689999999995</v>
      </c>
    </row>
    <row r="12" spans="3:8" x14ac:dyDescent="0.3">
      <c r="C12" s="17">
        <v>9</v>
      </c>
      <c r="D12" s="17">
        <v>433</v>
      </c>
      <c r="E12" s="17">
        <v>38.799999999999997</v>
      </c>
      <c r="F12" s="17">
        <f t="shared" si="3"/>
        <v>187489</v>
      </c>
      <c r="G12" s="17">
        <f t="shared" si="4"/>
        <v>16800.399999999998</v>
      </c>
      <c r="H12" s="17">
        <f t="shared" si="5"/>
        <v>1505.4399999999998</v>
      </c>
    </row>
    <row r="13" spans="3:8" x14ac:dyDescent="0.3">
      <c r="C13" s="17">
        <v>10</v>
      </c>
      <c r="D13" s="17">
        <v>1130</v>
      </c>
      <c r="E13" s="17">
        <v>138.19999999999999</v>
      </c>
      <c r="F13" s="17">
        <f t="shared" si="3"/>
        <v>1276900</v>
      </c>
      <c r="G13" s="17">
        <f t="shared" si="4"/>
        <v>156166</v>
      </c>
      <c r="H13" s="17">
        <f t="shared" si="5"/>
        <v>19099.239999999998</v>
      </c>
    </row>
    <row r="14" spans="3:8" x14ac:dyDescent="0.3">
      <c r="C14" s="17" t="s">
        <v>6</v>
      </c>
      <c r="D14" s="17">
        <f>SUM(D4:D13)</f>
        <v>4632</v>
      </c>
      <c r="E14" s="17">
        <f>SUM(E4:E13)</f>
        <v>603.20000000000005</v>
      </c>
      <c r="F14" s="17">
        <f>SUM(Table28[x^2])</f>
        <v>3741346</v>
      </c>
      <c r="G14" s="17">
        <f>SUM(G4:G13)</f>
        <v>503075.7</v>
      </c>
      <c r="H14" s="17">
        <f>SUM(H4:H13)</f>
        <v>71267.12</v>
      </c>
    </row>
    <row r="15" spans="3:8" x14ac:dyDescent="0.3">
      <c r="C15" s="18"/>
      <c r="D15" s="17" t="s">
        <v>7</v>
      </c>
      <c r="E15" s="17" t="s">
        <v>8</v>
      </c>
      <c r="F15" s="18"/>
      <c r="G15" s="18"/>
      <c r="H15" s="18"/>
    </row>
    <row r="16" spans="3:8" x14ac:dyDescent="0.3">
      <c r="C16" s="18"/>
      <c r="D16" s="17">
        <f>AVERAGE(Table28[x])</f>
        <v>463.2</v>
      </c>
      <c r="E16" s="17">
        <f>AVERAGE(Table28[y])</f>
        <v>60.320000000000007</v>
      </c>
      <c r="F16" s="18"/>
      <c r="G16" s="18"/>
      <c r="H16" s="18"/>
    </row>
    <row r="18" spans="2:11" x14ac:dyDescent="0.3">
      <c r="B18" s="2"/>
      <c r="C18" s="3" t="s">
        <v>9</v>
      </c>
      <c r="D18" s="3" t="s">
        <v>10</v>
      </c>
      <c r="E18" s="3" t="s">
        <v>11</v>
      </c>
      <c r="F18" s="4" t="s">
        <v>12</v>
      </c>
    </row>
    <row r="19" spans="2:11" x14ac:dyDescent="0.3">
      <c r="B19" s="19"/>
      <c r="C19" s="20">
        <f>Table29[[#All],[Column5]]</f>
        <v>503075.7</v>
      </c>
      <c r="D19" s="17">
        <f>Table30[Xavg]</f>
        <v>463.2</v>
      </c>
      <c r="E19" s="17">
        <f>Table30[Yavg]</f>
        <v>60.320000000000007</v>
      </c>
      <c r="F19" s="21">
        <f>C19-(10*D19*E19)</f>
        <v>223673.45999999996</v>
      </c>
    </row>
    <row r="20" spans="2:11" x14ac:dyDescent="0.3">
      <c r="B20" s="19"/>
      <c r="C20" s="17" t="s">
        <v>13</v>
      </c>
      <c r="D20" s="17" t="s">
        <v>14</v>
      </c>
      <c r="E20" s="17"/>
      <c r="F20" s="21" t="s">
        <v>15</v>
      </c>
    </row>
    <row r="21" spans="2:11" x14ac:dyDescent="0.3">
      <c r="B21" s="19"/>
      <c r="C21" s="17">
        <f>Table29[[#All],[Column4]]</f>
        <v>3741346</v>
      </c>
      <c r="D21" s="17">
        <f>D19*D19</f>
        <v>214554.23999999999</v>
      </c>
      <c r="E21" s="17"/>
      <c r="F21" s="21">
        <f>C21-(10*D21)</f>
        <v>1595803.6</v>
      </c>
      <c r="J21" s="1"/>
    </row>
    <row r="22" spans="2:11" x14ac:dyDescent="0.3">
      <c r="B22" s="22" t="s">
        <v>16</v>
      </c>
      <c r="C22" s="9">
        <f>F19/F21</f>
        <v>0.14016352638883628</v>
      </c>
      <c r="D22" s="9"/>
      <c r="E22" s="9"/>
      <c r="F22" s="10"/>
    </row>
    <row r="24" spans="2:11" x14ac:dyDescent="0.3">
      <c r="B24" s="2"/>
      <c r="C24" s="3" t="s">
        <v>8</v>
      </c>
      <c r="D24" s="3" t="s">
        <v>18</v>
      </c>
      <c r="E24" s="4" t="s">
        <v>7</v>
      </c>
    </row>
    <row r="25" spans="2:11" x14ac:dyDescent="0.3">
      <c r="B25" s="5"/>
      <c r="C25" s="6">
        <f>Table30[Yavg]</f>
        <v>60.320000000000007</v>
      </c>
      <c r="D25" s="6">
        <f>C22</f>
        <v>0.14016352638883628</v>
      </c>
      <c r="E25" s="7">
        <f>Table30[Xavg]</f>
        <v>463.2</v>
      </c>
      <c r="F25" s="1"/>
    </row>
    <row r="26" spans="2:11" x14ac:dyDescent="0.3">
      <c r="B26" s="8" t="s">
        <v>21</v>
      </c>
      <c r="C26" s="9">
        <f>C25-D25*E25</f>
        <v>-4.6037454233089505</v>
      </c>
      <c r="D26" s="9"/>
      <c r="E26" s="10"/>
    </row>
    <row r="27" spans="2:11" x14ac:dyDescent="0.3">
      <c r="G27" s="23" t="s">
        <v>22</v>
      </c>
      <c r="H27" s="23" t="s">
        <v>23</v>
      </c>
      <c r="I27" s="23" t="s">
        <v>24</v>
      </c>
      <c r="J27" s="6"/>
      <c r="K27" s="6" t="s">
        <v>25</v>
      </c>
    </row>
    <row r="28" spans="2:11" x14ac:dyDescent="0.3">
      <c r="G28" s="17">
        <f>Table29[[#All],[Column5]]</f>
        <v>503075.7</v>
      </c>
      <c r="H28" s="17">
        <f>Table29[[#All],[Column2]]</f>
        <v>4632</v>
      </c>
      <c r="I28" s="17">
        <f>Table29[[#All],[Column3]]</f>
        <v>603.20000000000005</v>
      </c>
      <c r="J28" s="17"/>
      <c r="K28" s="17">
        <f>10*(G28)-(H28)*(I28)</f>
        <v>2236734.5999999996</v>
      </c>
    </row>
    <row r="29" spans="2:11" x14ac:dyDescent="0.3">
      <c r="B29" s="11" t="s">
        <v>21</v>
      </c>
      <c r="C29" s="12">
        <f>C26</f>
        <v>-4.6037454233089505</v>
      </c>
      <c r="G29" s="17" t="s">
        <v>26</v>
      </c>
      <c r="H29" s="17" t="s">
        <v>27</v>
      </c>
      <c r="I29" s="17" t="s">
        <v>28</v>
      </c>
      <c r="J29" s="17" t="s">
        <v>29</v>
      </c>
      <c r="K29" s="17"/>
    </row>
    <row r="30" spans="2:11" x14ac:dyDescent="0.3">
      <c r="B30" s="13" t="s">
        <v>16</v>
      </c>
      <c r="C30" s="14">
        <f>C22</f>
        <v>0.14016352638883628</v>
      </c>
      <c r="G30" s="17">
        <f>Table29[[#All],[Column4]]</f>
        <v>3741346</v>
      </c>
      <c r="H30" s="17">
        <f>H28*H28</f>
        <v>21455424</v>
      </c>
      <c r="I30" s="17">
        <f>Table29[[#All],[Column6]]</f>
        <v>71267.12</v>
      </c>
      <c r="J30" s="17">
        <f>I28*I28</f>
        <v>363850.24000000005</v>
      </c>
      <c r="K30" s="17"/>
    </row>
    <row r="31" spans="2:11" x14ac:dyDescent="0.3">
      <c r="B31" s="13" t="s">
        <v>30</v>
      </c>
      <c r="C31" s="14">
        <v>386</v>
      </c>
      <c r="G31" s="17" t="s">
        <v>31</v>
      </c>
      <c r="H31" s="17" t="s">
        <v>32</v>
      </c>
      <c r="I31" s="17" t="s">
        <v>33</v>
      </c>
      <c r="J31" s="17" t="s">
        <v>40</v>
      </c>
      <c r="K31" s="17"/>
    </row>
    <row r="32" spans="2:11" x14ac:dyDescent="0.3">
      <c r="B32" s="15" t="s">
        <v>35</v>
      </c>
      <c r="C32" s="16">
        <f>C29+C30*C31</f>
        <v>49.499375762781852</v>
      </c>
      <c r="G32" s="17">
        <f>10*G30-H30</f>
        <v>15958036</v>
      </c>
      <c r="H32" s="17">
        <f>10*I30-J30</f>
        <v>348820.9599999999</v>
      </c>
      <c r="I32" s="17">
        <f>G32*H32</f>
        <v>5566497437234.5586</v>
      </c>
      <c r="J32" s="17">
        <f>SQRT(G32*H32)</f>
        <v>2359342.5858138022</v>
      </c>
      <c r="K32" s="17"/>
    </row>
    <row r="33" spans="7:11" x14ac:dyDescent="0.3">
      <c r="G33" s="17" t="s">
        <v>36</v>
      </c>
      <c r="H33" s="17">
        <f>K28/J32</f>
        <v>0.94803298743005071</v>
      </c>
      <c r="I33" s="18"/>
      <c r="J33" s="18"/>
      <c r="K33" s="18"/>
    </row>
    <row r="34" spans="7:11" x14ac:dyDescent="0.3">
      <c r="G34" s="17" t="s">
        <v>37</v>
      </c>
      <c r="H34" s="17">
        <f>H33*H33</f>
        <v>0.89876654525554667</v>
      </c>
      <c r="I34" s="18"/>
      <c r="J34" s="18"/>
      <c r="K34" s="18"/>
    </row>
    <row r="35" spans="7:11" x14ac:dyDescent="0.3">
      <c r="I35" s="1"/>
    </row>
  </sheetData>
  <pageMargins left="0.7" right="0.7" top="0.75" bottom="0.75" header="0.3" footer="0.3"/>
  <pageSetup orientation="portrait" verticalDpi="0"/>
  <drawing r:id="rId1"/>
  <tableParts count="9"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1</vt:lpstr>
      <vt:lpstr>Test 2</vt:lpstr>
      <vt:lpstr>Test 3</vt:lpstr>
      <vt:lpstr>Test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JACOME HERNANDEZ MARELY</cp:lastModifiedBy>
  <cp:revision>7</cp:revision>
  <dcterms:created xsi:type="dcterms:W3CDTF">2025-11-27T11:58:39Z</dcterms:created>
  <dcterms:modified xsi:type="dcterms:W3CDTF">2025-11-27T11:58:39Z</dcterms:modified>
</cp:coreProperties>
</file>